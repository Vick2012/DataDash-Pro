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chiquer\Desktop\"/>
    </mc:Choice>
  </mc:AlternateContent>
  <xr:revisionPtr revIDLastSave="0" documentId="13_ncr:1_{17126C5D-DAFD-4804-8477-87E581FE81E9}" xr6:coauthVersionLast="47" xr6:coauthVersionMax="47" xr10:uidLastSave="{00000000-0000-0000-0000-000000000000}"/>
  <bookViews>
    <workbookView xWindow="-120" yWindow="-120" windowWidth="29040" windowHeight="15720" xr2:uid="{24FDEAAE-7EFD-4E41-8252-F1D062E96320}"/>
  </bookViews>
  <sheets>
    <sheet name="Hoja1" sheetId="1" r:id="rId1"/>
    <sheet name="Hoja2" sheetId="2" r:id="rId2"/>
  </sheets>
  <definedNames>
    <definedName name="_xlnm._FilterDatabase" localSheetId="0" hidden="1">Hoja1!$B$1:$H$168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88" i="1" l="1"/>
  <c r="I5" i="2" l="1"/>
  <c r="I6" i="2"/>
  <c r="I7" i="2"/>
  <c r="I8" i="2"/>
  <c r="I9" i="2"/>
  <c r="I10" i="2"/>
  <c r="I11" i="2"/>
  <c r="I12" i="2"/>
  <c r="I13" i="2"/>
  <c r="I14" i="2"/>
  <c r="I4" i="2"/>
  <c r="E15" i="2"/>
  <c r="C15" i="2"/>
  <c r="G14" i="2"/>
  <c r="G13" i="2"/>
  <c r="G12" i="2"/>
  <c r="G11" i="2"/>
  <c r="G10" i="2"/>
  <c r="G9" i="2"/>
  <c r="G8" i="2"/>
  <c r="G7" i="2"/>
  <c r="G6" i="2"/>
  <c r="G5" i="2"/>
  <c r="G4" i="2"/>
</calcChain>
</file>

<file path=xl/sharedStrings.xml><?xml version="1.0" encoding="utf-8"?>
<sst xmlns="http://schemas.openxmlformats.org/spreadsheetml/2006/main" count="387" uniqueCount="218">
  <si>
    <t>Proceso</t>
  </si>
  <si>
    <t>Acabados</t>
  </si>
  <si>
    <t>Centro/actividad</t>
  </si>
  <si>
    <t>Unidad
producción</t>
  </si>
  <si>
    <t>unidades</t>
  </si>
  <si>
    <t>Grapadora Manual</t>
  </si>
  <si>
    <t>TermoselladoraTERMOSELLADO</t>
  </si>
  <si>
    <t>unidad</t>
  </si>
  <si>
    <t>ZunchadoraZUNCHAR</t>
  </si>
  <si>
    <t>cajas</t>
  </si>
  <si>
    <t>HEIDELBERG 1/2 PLANO CILINDRICA # 1TROQUELADO</t>
  </si>
  <si>
    <t>HEIDELBERG 1/2 PLANO CILINDRICA # 1PERFORADO</t>
  </si>
  <si>
    <t>HEIDELBERG 1/2 PLANO CILINDRICA # 1RELIEVE</t>
  </si>
  <si>
    <t>HEIDELBERG 1/2 PLANO CILINDRICA # 1GRAFA</t>
  </si>
  <si>
    <t>HEIDELBERG 1/2 PLANO CILINDRICA # 1SEMICORTE</t>
  </si>
  <si>
    <t>HEIDELBERG 1/2 PLANO CILINDRICA # 1NUMERACIÓN</t>
  </si>
  <si>
    <t>HEIDELBERG 1/2 PLANO CILINDRICA # 2TROQUELADO</t>
  </si>
  <si>
    <t>HEIDELBERG 1/2 PLANO CILINDRICA # 2PERFORADO</t>
  </si>
  <si>
    <t>HEIDELBERG 1/2 PLANO CILINDRICA # 2RELIEVE</t>
  </si>
  <si>
    <t>HEIDELBERG 1/2 PLANO CILINDRICA # 2GRAFA</t>
  </si>
  <si>
    <t>HEIDELBERG 1/2 PLANO CILINDRICA # 2SEMICORTE</t>
  </si>
  <si>
    <t>HEIDELBERG 1/2 PLANO CILINDRICA # 2NUMERACIÓN</t>
  </si>
  <si>
    <t>Heidelberg 1/8 x 1 # 1TROQUELADO</t>
  </si>
  <si>
    <t>Heidelberg 1/8 x 1 # 1PERFORADO</t>
  </si>
  <si>
    <t>Heidelberg 1/8 x 1 # 1RELIEVE</t>
  </si>
  <si>
    <t>Heidelberg 1/8 x 1 # 1GRAFA</t>
  </si>
  <si>
    <t>Heidelberg 1/8 x 1 # 1SEMICORTE</t>
  </si>
  <si>
    <t>Heidelberg 1/8 x 1 # 1NUMERACIÓN</t>
  </si>
  <si>
    <t>Heidelberg 1/8 x 1 # 2TROQUELADO</t>
  </si>
  <si>
    <t>Heidelberg 1/8 x 1 # 2PERFORADO</t>
  </si>
  <si>
    <t>Heidelberg 1/8 x 1 # 2RELIEVE</t>
  </si>
  <si>
    <t>Heidelberg 1/8 x 1 # 2GRAFA</t>
  </si>
  <si>
    <t>Heidelberg 1/8 x 1 # 2SEMICORTE</t>
  </si>
  <si>
    <t>Heidelberg 1/8 x 1 # 2NUMERACIÓN</t>
  </si>
  <si>
    <t>Troqueladora de QuijadaTROQUELADO</t>
  </si>
  <si>
    <t>Troqueladora de QuijadaPERFORADO</t>
  </si>
  <si>
    <t>Troqueladora de QuijadaRELIEVE</t>
  </si>
  <si>
    <t>Troqueladora de QuijadaGRAFA</t>
  </si>
  <si>
    <t>Troqueladora de QuijadaSEMICORTE</t>
  </si>
  <si>
    <t/>
  </si>
  <si>
    <t>planchas</t>
  </si>
  <si>
    <t>unidades/tiros</t>
  </si>
  <si>
    <t>Clinks</t>
  </si>
  <si>
    <t>Unidades</t>
  </si>
  <si>
    <t>no. ejemplares</t>
  </si>
  <si>
    <t>Cuadernillos</t>
  </si>
  <si>
    <t>bajada cuchilla</t>
  </si>
  <si>
    <t>Hojas v</t>
  </si>
  <si>
    <t>cuadernillos</t>
  </si>
  <si>
    <t>hojas</t>
  </si>
  <si>
    <t># pliegues * cant.</t>
  </si>
  <si>
    <t>libretas</t>
  </si>
  <si>
    <t>libros</t>
  </si>
  <si>
    <t>paquetes</t>
  </si>
  <si>
    <t>resmas</t>
  </si>
  <si>
    <t>Paquete</t>
  </si>
  <si>
    <t>Originales</t>
  </si>
  <si>
    <t>printers</t>
  </si>
  <si>
    <t>PDFS</t>
  </si>
  <si>
    <t>artes finales</t>
  </si>
  <si>
    <t>fotos</t>
  </si>
  <si>
    <t>printer o pag dia</t>
  </si>
  <si>
    <t>ilustraciones</t>
  </si>
  <si>
    <t>pag. diagramada</t>
  </si>
  <si>
    <t>diarios oficiales</t>
  </si>
  <si>
    <t>Rotativa Color King 4 TorresCORRIDA</t>
  </si>
  <si>
    <t>KBA Planeta Pliego x 4CORRIDA</t>
  </si>
  <si>
    <t>Heidelberg CD 102 Pliego x 4CORRIDA</t>
  </si>
  <si>
    <t>Heidelberg SM 74 1/2 x 4CORRIDA</t>
  </si>
  <si>
    <t>Heidelberg Speed Master 1/2 x 2CORRIDA</t>
  </si>
  <si>
    <t>Sakurai 2 1/2 x 2CORRIDA</t>
  </si>
  <si>
    <t>SOR M 1/2 x 1CORRIDA</t>
  </si>
  <si>
    <t>Heidelberg Speed Master 52 1/4 x 4CORRIDA</t>
  </si>
  <si>
    <t>Indigo B&amp;NCORRIDA</t>
  </si>
  <si>
    <t>Indigo ColorCORRIDA INDIGO</t>
  </si>
  <si>
    <t>Ricoh Laser blanco y negroCORRIDA</t>
  </si>
  <si>
    <t>Guill. Polar MOHR 1CORTE INTERMEDIO / FINAL GUILLOTINA</t>
  </si>
  <si>
    <t>Guill. Polar MOHR 1REFILE INCIAL MATERIAL</t>
  </si>
  <si>
    <t>Guill. Scheneider SenatorCORTE INTERMEDIO / FINAL GUILLOTINA</t>
  </si>
  <si>
    <t>Guill. Scheneider SenatorREFILE INCIAL MATERIAL</t>
  </si>
  <si>
    <t>Guillotina Polar MOHR 2CORTE INTERMEDIO / FINAL GUILLOTINA</t>
  </si>
  <si>
    <t>Guillotina Polar MOHR 2REFILE INCIAL MATERIAL</t>
  </si>
  <si>
    <t>Guillotina Polar MOHR 3CORTE INTERMEDIO / FINAL GUILLOTINA</t>
  </si>
  <si>
    <t>Guillotina Polar MOHR 3REFILE INCIAL MATERIAL</t>
  </si>
  <si>
    <t>Plegadora MBO  PliegoCORRIDA</t>
  </si>
  <si>
    <t>Plegadora T800 1 plCORRIDA</t>
  </si>
  <si>
    <t>Plegadora Sthal PliegoCORRIDA</t>
  </si>
  <si>
    <t>Plegadora Sthal 1/2 Pl No. 1CORRIDA</t>
  </si>
  <si>
    <t>Plegadora Sthal 1/2 Pl No. 2CORRIDA</t>
  </si>
  <si>
    <t>Alzadora PONY Muller Martini 18 est + 2CORRIDA ALCE</t>
  </si>
  <si>
    <t>Encar.PONY Muller MartiniCORRIDA</t>
  </si>
  <si>
    <t>Encar. Panda BinderCORRIDA</t>
  </si>
  <si>
    <t>Alzadora Panda Bider 12 est + 2CORRIDA ALCE</t>
  </si>
  <si>
    <t>Cosedora Hilo VenturaCORRIDA</t>
  </si>
  <si>
    <t>Trilateral PerfectaCORRIDA TRILATERAL</t>
  </si>
  <si>
    <t>Trilateral PoligrafCORRIDA TRILATERAL</t>
  </si>
  <si>
    <t>Cos. Alambre Muller Martini ValoreCORRIDA</t>
  </si>
  <si>
    <t>Cos. Alambre Muller Martini ValoreINTERCALE / EMBUCHADO</t>
  </si>
  <si>
    <t>Cos. Alam Muller Martini 5 est 1CORRIDA</t>
  </si>
  <si>
    <t>Cos. Alam Muller Martini 5 est 1INTERCALE / EMBUCHADO</t>
  </si>
  <si>
    <t>Encar. PONY Muller Martini  Alce + Enc 18 + 2CORRIDA</t>
  </si>
  <si>
    <t>Encar. Panda Binder Alce + Enc 12 + 2CORRIDA</t>
  </si>
  <si>
    <t>ConvertidoraCONVERSIÓN DE PAPEL</t>
  </si>
  <si>
    <t>ManualidadesDESCARTONAR</t>
  </si>
  <si>
    <t>ManualidadesINTERCALE</t>
  </si>
  <si>
    <t>ManualidadesDESINTERCALE</t>
  </si>
  <si>
    <t>ManualidadesINSERTOS</t>
  </si>
  <si>
    <t>ManualidadesARREGLOS</t>
  </si>
  <si>
    <t>ManualidadesREVISION</t>
  </si>
  <si>
    <t>ManualidadesPLEGADO MANUAL</t>
  </si>
  <si>
    <t>ManualidadesPEGUE BOLSILLOS / SOLAPAS CARPETAS</t>
  </si>
  <si>
    <t>ManualidadesEMPATE</t>
  </si>
  <si>
    <t>ManualidadesALCE MANUAL DOS UNIDADES</t>
  </si>
  <si>
    <t>ManualidadesALCE MANUAL  TRES UNIDADES</t>
  </si>
  <si>
    <t>ManualidadesALCE MANUAL CUATRO UNIDADES</t>
  </si>
  <si>
    <t>ManualidadesCOSIDO MANUAL</t>
  </si>
  <si>
    <t>ManualidadesENGOME MANUAL LIBRETAS / TALONARIOS / TACOS</t>
  </si>
  <si>
    <t>ManualidadesEMPAQUE EN CAJA</t>
  </si>
  <si>
    <t>ManualidadesEMPACAR PAQUETES</t>
  </si>
  <si>
    <t>ManualidadesROTULAR (STICKERS)</t>
  </si>
  <si>
    <t xml:space="preserve">ManualidadesEMBOLSAR </t>
  </si>
  <si>
    <t>ManualidadesCONTAR</t>
  </si>
  <si>
    <t>ManualidadesNIVELAR</t>
  </si>
  <si>
    <t>ManualidadesEMPAQUE PARA DISTRIBUCIÓN</t>
  </si>
  <si>
    <t>ManualidadesDESPEGUE LIBRETAS, EXFOLIADORES O BLOQUES</t>
  </si>
  <si>
    <t>ManualidadesCLASIFICAR / ORGANIZAR LIBRETAS / TALONARIO</t>
  </si>
  <si>
    <t>ManualidadesFAJILLAR</t>
  </si>
  <si>
    <t>ManualidadesEMPAQUE Y ZUNCHADO</t>
  </si>
  <si>
    <t>Digitación / FiltradoALISTAMIENTO DE MATERIAL PARA DIGITAR</t>
  </si>
  <si>
    <t>Digitación / FiltradoLEVANTAR TEXTO</t>
  </si>
  <si>
    <t>Digitación / FiltradoESCANEAR ORIGINALES</t>
  </si>
  <si>
    <t>Digitación / FiltradoALISTAMIENTO DE PDFS PARA DIAGRAMAR</t>
  </si>
  <si>
    <t>Digitación / FiltradoFILTRAR ARCHIVOS ESCANEADOS</t>
  </si>
  <si>
    <t>Digitación / FiltradoFILTRAR ARCHIVOS WORD</t>
  </si>
  <si>
    <t>Digitación / FiltradoENLAZAR EDICIONES GRADO 1</t>
  </si>
  <si>
    <t>Digitación / FiltradoENLAZAR EDICIONES GRADO 2</t>
  </si>
  <si>
    <t>CorrecciónCORRECCION GRADO 1</t>
  </si>
  <si>
    <t>CorrecciónCORRECCION GRADO 2</t>
  </si>
  <si>
    <t>CorrecciónLECTURA DE PRINTERS</t>
  </si>
  <si>
    <t>CorrecciónVERIFICACIÓN FINAL (CABEZA Y COLA)</t>
  </si>
  <si>
    <t>Diagramacion Diario y GacetaDESCARGAR ARCHIVOS</t>
  </si>
  <si>
    <t>Diagramacion Diario y GacetaDIAGRAMACIÓN  DO Y GACETA GRADO 1</t>
  </si>
  <si>
    <t>Diagramacion Diario y GacetaDIAGRAMACIÓN  DO Y GACETA GRADO 2</t>
  </si>
  <si>
    <t>Diagramacion Diario y Gaceta</t>
  </si>
  <si>
    <t>Diagramacion Diario y GacetaENCAPSULAR Y GENERACION DE PDF</t>
  </si>
  <si>
    <t>Diagramacion Diario y GacetaENCAPSULAR Y SUBIR A LA WEB</t>
  </si>
  <si>
    <t>Diagramacion Diario y GacetaINSERCIÓN DE CORRECCIONES DO Y GACETA GRADO 1</t>
  </si>
  <si>
    <t>Diagramacion Diario y GacetaINSERCIÓN DE CORRECCIONES DO Y GACETA GRADO 2</t>
  </si>
  <si>
    <t>Diagramacion Diario y GacetaREVISION DE ARCHIVOS PDF</t>
  </si>
  <si>
    <t>Diagramacion Diario y GacetaREDIAGRAMACIÓN DO Y GACETA</t>
  </si>
  <si>
    <t>Diseño y DiagramaciónATENCION A CLIENTES</t>
  </si>
  <si>
    <t>Diseño y DiagramaciónDESCARGAR ARCHIVOS</t>
  </si>
  <si>
    <t>Diseño y DiagramaciónDIAGRAMACION GRADO 1</t>
  </si>
  <si>
    <t>Diseño y DiagramaciónDIAGRAMACION GRADO 2</t>
  </si>
  <si>
    <t>Diseño y DiagramaciónDIAGRAMACION GRADO 3</t>
  </si>
  <si>
    <t>Diseño y DiagramaciónDIAGRAMACION GRADO 4</t>
  </si>
  <si>
    <t>Diseño y DiagramaciónDIGITALIZACION / RETOQUE DE IMÁGENES</t>
  </si>
  <si>
    <t>Diseño y DiagramaciónENCAPSULAR Y GENERACION DE PDF</t>
  </si>
  <si>
    <t>Diseño y DiagramaciónENCAPSULAR Y SUBIR A LA WEB</t>
  </si>
  <si>
    <t>Diseño y DiagramaciónGENERACION DE PDF INTERACTIVO</t>
  </si>
  <si>
    <t>Diseño y DiagramaciónILUSTRACION</t>
  </si>
  <si>
    <t>Diseño y DiagramaciónINSERCION DE CORRECCIONES GRADO 1</t>
  </si>
  <si>
    <t>Diseño y DiagramaciónINSERCION DE CORRECCIONES GRADO 2</t>
  </si>
  <si>
    <t>Diseño y DiagramaciónINSERCION DE CORRECCIONES GRADO 3</t>
  </si>
  <si>
    <t>Diseño y DiagramaciónREVISION Y CORRECCION DE PLOTTER</t>
  </si>
  <si>
    <t>Diseño y DiagramaciónREVISION DE ARCHIVOS PDF</t>
  </si>
  <si>
    <t>Diseño y DiagramaciónVERIFICACION INSERCION DE CORRECCIONES</t>
  </si>
  <si>
    <t>CTPREFINAR ARCHIVOS</t>
  </si>
  <si>
    <t>Diseño y DiagramaciónMONTAJE P/LECTURA DISPOSITIVOS DIGITALES</t>
  </si>
  <si>
    <t>Diseño y DiagramaciónELABORAR CONTENIDO PARA CD DIARIO OFICIAL</t>
  </si>
  <si>
    <t>Diseño y DiagramaciónELABORACIÓN DE PLANTILLA Y DEFINICIÓN DE ESTILOS</t>
  </si>
  <si>
    <t>Diseño y DiagramaciónCONVERSION DE ARCHIVOS E IMÁGENES</t>
  </si>
  <si>
    <t>Diseño y DiagramaciónREDIAGRAMACIÓN GRADO 1</t>
  </si>
  <si>
    <t>Diseño y DiagramaciónCORRECCIÓN DISEÑO</t>
  </si>
  <si>
    <t>Diseño y DiagramaciónREDIAGRAMACIÓN GRADO 2</t>
  </si>
  <si>
    <t>CTPPRUEBA DE IMPOSICION Y DE COLOR</t>
  </si>
  <si>
    <t>CTPIMPRESIÓN PRUEBA LÁSER</t>
  </si>
  <si>
    <t>Diseño y DiagramaciónELABORACION DE MACHOTES O MUESTRAS</t>
  </si>
  <si>
    <t>CTPIMPOSICIÓN DIGITAL CTP</t>
  </si>
  <si>
    <t>CTPFILMADO Y REVELADO DE PLANCHAS</t>
  </si>
  <si>
    <t>CorteCAMBIO CUCHILLA</t>
  </si>
  <si>
    <t>STD PRODUCCIÓN</t>
  </si>
  <si>
    <t>Encuadernación</t>
  </si>
  <si>
    <t>Corte</t>
  </si>
  <si>
    <t>Impresión</t>
  </si>
  <si>
    <t>Plotter Gran Formato MIMAKICORRIDA</t>
  </si>
  <si>
    <t>Manualidades</t>
  </si>
  <si>
    <t>Plegado</t>
  </si>
  <si>
    <t>STD ACTUALiZADO</t>
  </si>
  <si>
    <t>Correción</t>
  </si>
  <si>
    <t>CTP</t>
  </si>
  <si>
    <t>Digitación / Filtrado</t>
  </si>
  <si>
    <t>Diseño y Diagramación</t>
  </si>
  <si>
    <t>IXLA ID5 Impresora Laser de SobremesaCONTROL DE CALIDAD  Y EMPAQUE  IMP. SEGURIDAD</t>
  </si>
  <si>
    <t>IXLA ID5 Impresora Laser de SobremesaPRODUCCIÓN DE DOCUMENTO DE SEGURIDAD</t>
  </si>
  <si>
    <t>Observaciones</t>
  </si>
  <si>
    <t>Aréa</t>
  </si>
  <si>
    <t>Horas</t>
  </si>
  <si>
    <t>Centro</t>
  </si>
  <si>
    <t>STD</t>
  </si>
  <si>
    <t>Plast. Tauler Print Lam Plus</t>
  </si>
  <si>
    <t>CORRIDA</t>
  </si>
  <si>
    <t>Guill. Polar MOHR 1</t>
  </si>
  <si>
    <t>REFILE INCIAL MATERIAL</t>
  </si>
  <si>
    <t>Encar. PONY Muller Martini  Alce + Enc 18 + 2</t>
  </si>
  <si>
    <t>Heidelberg CD 102 Pliego x 4</t>
  </si>
  <si>
    <t>Fajillar</t>
  </si>
  <si>
    <t>Plegadora T800 1 pl</t>
  </si>
  <si>
    <t>Corrección</t>
  </si>
  <si>
    <t>CORRECCION GRADO 1</t>
  </si>
  <si>
    <t>FILMADO Y REVELADO DE PLANCHAS</t>
  </si>
  <si>
    <t>DIAGRAMACIÓN  DO Y GACETA GRADO 1</t>
  </si>
  <si>
    <t>FILTRAR ARCHIVOS WORD</t>
  </si>
  <si>
    <t>DIAGRAMACION GRADO 3</t>
  </si>
  <si>
    <t>Plast. Tauler Print Lam Plus - CORRIDA</t>
  </si>
  <si>
    <t>MONTAJE Y REGISTRO PLANCHAS Y AJUSTE DE COLOR</t>
  </si>
  <si>
    <t>CAMBIO Y CALIBRACIÓN DE MANTILLAS</t>
  </si>
  <si>
    <t>STD 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</si>
</sst>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rgb="FFC0C0C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wrapText="1"/>
    </xf>
    <xf numFmtId="164" fontId="3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/>
    </xf>
    <xf numFmtId="164" fontId="3" fillId="2" borderId="21" xfId="1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164" fontId="4" fillId="3" borderId="11" xfId="1" applyNumberFormat="1" applyFont="1" applyFill="1" applyBorder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0" fontId="5" fillId="5" borderId="25" xfId="0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/>
    </xf>
    <xf numFmtId="9" fontId="5" fillId="5" borderId="26" xfId="2" applyFont="1" applyFill="1" applyBorder="1" applyAlignment="1">
      <alignment horizontal="center"/>
    </xf>
    <xf numFmtId="0" fontId="5" fillId="5" borderId="2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/>
    </xf>
    <xf numFmtId="0" fontId="2" fillId="2" borderId="28" xfId="0" applyFont="1" applyFill="1" applyBorder="1"/>
    <xf numFmtId="164" fontId="2" fillId="2" borderId="0" xfId="1" applyNumberFormat="1" applyFont="1" applyFill="1" applyBorder="1" applyAlignment="1">
      <alignment horizontal="center" vertical="center"/>
    </xf>
    <xf numFmtId="164" fontId="2" fillId="6" borderId="0" xfId="1" applyNumberFormat="1" applyFont="1" applyFill="1" applyBorder="1" applyAlignment="1">
      <alignment horizontal="center" vertical="center"/>
    </xf>
    <xf numFmtId="9" fontId="0" fillId="2" borderId="0" xfId="2" applyFont="1" applyFill="1" applyBorder="1" applyAlignment="1">
      <alignment horizontal="center" vertical="center"/>
    </xf>
    <xf numFmtId="10" fontId="0" fillId="2" borderId="29" xfId="2" applyNumberFormat="1" applyFont="1" applyFill="1" applyBorder="1" applyAlignment="1">
      <alignment horizontal="center" vertical="center"/>
    </xf>
    <xf numFmtId="164" fontId="0" fillId="6" borderId="0" xfId="1" applyNumberFormat="1" applyFont="1" applyFill="1" applyBorder="1" applyAlignment="1">
      <alignment horizontal="center" vertical="center"/>
    </xf>
    <xf numFmtId="164" fontId="0" fillId="2" borderId="0" xfId="1" applyNumberFormat="1" applyFont="1" applyFill="1" applyBorder="1" applyAlignment="1">
      <alignment horizontal="center" vertical="center"/>
    </xf>
    <xf numFmtId="0" fontId="2" fillId="2" borderId="30" xfId="0" applyFont="1" applyFill="1" applyBorder="1"/>
    <xf numFmtId="164" fontId="0" fillId="2" borderId="31" xfId="1" applyNumberFormat="1" applyFont="1" applyFill="1" applyBorder="1" applyAlignment="1">
      <alignment horizontal="center" vertical="center"/>
    </xf>
    <xf numFmtId="0" fontId="2" fillId="6" borderId="31" xfId="0" applyFont="1" applyFill="1" applyBorder="1" applyAlignment="1">
      <alignment horizontal="center" vertical="center"/>
    </xf>
    <xf numFmtId="164" fontId="0" fillId="6" borderId="31" xfId="1" applyNumberFormat="1" applyFont="1" applyFill="1" applyBorder="1" applyAlignment="1">
      <alignment horizontal="center" vertical="center"/>
    </xf>
    <xf numFmtId="0" fontId="0" fillId="7" borderId="31" xfId="0" applyFill="1" applyBorder="1" applyAlignment="1">
      <alignment horizontal="center" vertical="center"/>
    </xf>
    <xf numFmtId="9" fontId="0" fillId="2" borderId="31" xfId="2" applyFont="1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  <xf numFmtId="10" fontId="0" fillId="2" borderId="32" xfId="2" applyNumberFormat="1" applyFont="1" applyFill="1" applyBorder="1" applyAlignment="1">
      <alignment horizontal="center" vertical="center"/>
    </xf>
    <xf numFmtId="164" fontId="2" fillId="0" borderId="0" xfId="0" applyNumberFormat="1" applyFont="1"/>
    <xf numFmtId="164" fontId="2" fillId="0" borderId="0" xfId="2" applyNumberFormat="1" applyFont="1"/>
    <xf numFmtId="164" fontId="0" fillId="0" borderId="0" xfId="2" applyNumberFormat="1" applyFont="1"/>
    <xf numFmtId="0" fontId="2" fillId="6" borderId="0" xfId="0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164" fontId="0" fillId="0" borderId="0" xfId="0" applyNumberFormat="1" applyAlignment="1">
      <alignment wrapText="1"/>
    </xf>
    <xf numFmtId="0" fontId="2" fillId="4" borderId="1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vertical="center" wrapText="1"/>
    </xf>
    <xf numFmtId="164" fontId="4" fillId="3" borderId="11" xfId="1" applyNumberFormat="1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64" fontId="3" fillId="2" borderId="5" xfId="1" applyNumberFormat="1" applyFont="1" applyFill="1" applyBorder="1" applyAlignment="1">
      <alignment vertical="center" wrapText="1"/>
    </xf>
    <xf numFmtId="164" fontId="0" fillId="2" borderId="5" xfId="1" applyNumberFormat="1" applyFont="1" applyFill="1" applyBorder="1" applyAlignment="1">
      <alignment vertical="center"/>
    </xf>
    <xf numFmtId="0" fontId="0" fillId="2" borderId="6" xfId="0" applyFill="1" applyBorder="1" applyAlignment="1">
      <alignment horizontal="center" vertical="center" wrapText="1"/>
    </xf>
    <xf numFmtId="164" fontId="0" fillId="2" borderId="1" xfId="1" applyNumberFormat="1" applyFont="1" applyFill="1" applyBorder="1" applyAlignment="1">
      <alignment vertical="center"/>
    </xf>
    <xf numFmtId="0" fontId="0" fillId="2" borderId="7" xfId="0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2" xfId="1" applyNumberFormat="1" applyFont="1" applyFill="1" applyBorder="1" applyAlignment="1">
      <alignment vertical="center" wrapText="1"/>
    </xf>
    <xf numFmtId="164" fontId="0" fillId="2" borderId="2" xfId="1" applyNumberFormat="1" applyFont="1" applyFill="1" applyBorder="1" applyAlignment="1">
      <alignment vertical="center"/>
    </xf>
    <xf numFmtId="0" fontId="0" fillId="2" borderId="19" xfId="0" applyFill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vertical="center" wrapText="1"/>
    </xf>
    <xf numFmtId="164" fontId="0" fillId="2" borderId="1" xfId="1" applyNumberFormat="1" applyFont="1" applyFill="1" applyBorder="1" applyAlignment="1">
      <alignment vertical="center" wrapText="1"/>
    </xf>
    <xf numFmtId="0" fontId="3" fillId="2" borderId="21" xfId="0" applyFont="1" applyFill="1" applyBorder="1" applyAlignment="1">
      <alignment horizontal="center" vertical="center" wrapText="1"/>
    </xf>
    <xf numFmtId="164" fontId="0" fillId="2" borderId="21" xfId="1" applyNumberFormat="1" applyFont="1" applyFill="1" applyBorder="1" applyAlignment="1">
      <alignment vertical="center"/>
    </xf>
    <xf numFmtId="164" fontId="0" fillId="2" borderId="21" xfId="1" applyNumberFormat="1" applyFont="1" applyFill="1" applyBorder="1" applyAlignment="1">
      <alignment vertical="center" wrapText="1"/>
    </xf>
    <xf numFmtId="0" fontId="0" fillId="2" borderId="22" xfId="0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164" fontId="0" fillId="2" borderId="8" xfId="1" applyNumberFormat="1" applyFont="1" applyFill="1" applyBorder="1" applyAlignment="1">
      <alignment vertical="center"/>
    </xf>
    <xf numFmtId="0" fontId="0" fillId="2" borderId="9" xfId="0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164" fontId="3" fillId="2" borderId="3" xfId="1" applyNumberFormat="1" applyFont="1" applyFill="1" applyBorder="1" applyAlignment="1">
      <alignment vertical="center" wrapText="1"/>
    </xf>
    <xf numFmtId="164" fontId="0" fillId="2" borderId="3" xfId="1" applyNumberFormat="1" applyFont="1" applyFill="1" applyBorder="1" applyAlignment="1">
      <alignment vertical="center"/>
    </xf>
    <xf numFmtId="0" fontId="0" fillId="2" borderId="20" xfId="0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vertical="center" wrapText="1"/>
    </xf>
    <xf numFmtId="164" fontId="0" fillId="2" borderId="8" xfId="1" applyNumberFormat="1" applyFont="1" applyFill="1" applyBorder="1" applyAlignment="1">
      <alignment vertical="center" wrapText="1"/>
    </xf>
    <xf numFmtId="164" fontId="0" fillId="2" borderId="0" xfId="1" applyNumberFormat="1" applyFont="1" applyFill="1" applyAlignment="1">
      <alignment vertical="center" wrapText="1"/>
    </xf>
    <xf numFmtId="0" fontId="3" fillId="2" borderId="13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18" xfId="0" applyFont="1" applyFill="1" applyBorder="1" applyAlignment="1">
      <alignment horizontal="left" vertical="center" wrapText="1"/>
    </xf>
    <xf numFmtId="0" fontId="3" fillId="2" borderId="23" xfId="0" applyFont="1" applyFill="1" applyBorder="1" applyAlignment="1">
      <alignment horizontal="left" vertical="center" wrapText="1"/>
    </xf>
    <xf numFmtId="0" fontId="3" fillId="2" borderId="14" xfId="0" applyFont="1" applyFill="1" applyBorder="1" applyAlignment="1">
      <alignment horizontal="left" vertical="center" wrapText="1"/>
    </xf>
    <xf numFmtId="0" fontId="3" fillId="2" borderId="24" xfId="0" applyFont="1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BF4E-2D6F-4797-8ED1-025520A8CC92}">
  <dimension ref="B1:I1048571"/>
  <sheetViews>
    <sheetView tabSelected="1" workbookViewId="0">
      <pane ySplit="1" topLeftCell="A2" activePane="bottomLeft" state="frozen"/>
      <selection pane="bottomLeft" activeCell="G12" sqref="G12"/>
    </sheetView>
  </sheetViews>
  <sheetFormatPr baseColWidth="10" defaultRowHeight="15" x14ac:dyDescent="0.25"/>
  <cols>
    <col min="1" max="1" width="11.42578125" style="1"/>
    <col min="2" max="2" width="15" style="1" bestFit="1" customWidth="1"/>
    <col min="3" max="3" width="62.5703125" style="1" customWidth="1"/>
    <col min="4" max="4" width="21.5703125" style="1" customWidth="1"/>
    <col min="5" max="5" width="15.85546875" style="19" hidden="1" customWidth="1"/>
    <col min="6" max="6" width="20.5703125" style="19" customWidth="1"/>
    <col min="7" max="7" width="25.42578125" style="3" customWidth="1"/>
    <col min="8" max="8" width="46.85546875" style="1" customWidth="1"/>
    <col min="9" max="9" width="11.85546875" style="1" bestFit="1" customWidth="1"/>
    <col min="10" max="16384" width="11.42578125" style="1"/>
  </cols>
  <sheetData>
    <row r="1" spans="2:8" ht="30.75" thickBot="1" x14ac:dyDescent="0.3">
      <c r="B1" s="9" t="s">
        <v>0</v>
      </c>
      <c r="C1" s="10" t="s">
        <v>2</v>
      </c>
      <c r="D1" s="10" t="s">
        <v>3</v>
      </c>
      <c r="E1" s="18" t="s">
        <v>181</v>
      </c>
      <c r="F1" s="54" t="s">
        <v>217</v>
      </c>
      <c r="G1" s="11" t="s">
        <v>188</v>
      </c>
      <c r="H1" s="11" t="s">
        <v>195</v>
      </c>
    </row>
    <row r="2" spans="2:8" x14ac:dyDescent="0.25">
      <c r="B2" s="50" t="s">
        <v>1</v>
      </c>
      <c r="C2" s="81" t="s">
        <v>214</v>
      </c>
      <c r="D2" s="55" t="s">
        <v>4</v>
      </c>
      <c r="E2" s="56">
        <v>2000</v>
      </c>
      <c r="F2" s="57">
        <v>1300</v>
      </c>
      <c r="G2" s="8">
        <v>1300</v>
      </c>
      <c r="H2" s="58"/>
    </row>
    <row r="3" spans="2:8" x14ac:dyDescent="0.25">
      <c r="B3" s="51"/>
      <c r="C3" s="82" t="s">
        <v>5</v>
      </c>
      <c r="D3" s="5"/>
      <c r="E3" s="53"/>
      <c r="F3" s="59">
        <v>1800</v>
      </c>
      <c r="G3" s="5"/>
      <c r="H3" s="60"/>
    </row>
    <row r="4" spans="2:8" x14ac:dyDescent="0.25">
      <c r="B4" s="51"/>
      <c r="C4" s="82" t="s">
        <v>6</v>
      </c>
      <c r="D4" s="5" t="s">
        <v>7</v>
      </c>
      <c r="E4" s="53">
        <v>1500</v>
      </c>
      <c r="F4" s="59">
        <v>1000</v>
      </c>
      <c r="G4" s="4"/>
      <c r="H4" s="60"/>
    </row>
    <row r="5" spans="2:8" x14ac:dyDescent="0.25">
      <c r="B5" s="51"/>
      <c r="C5" s="82" t="s">
        <v>8</v>
      </c>
      <c r="D5" s="5" t="s">
        <v>9</v>
      </c>
      <c r="E5" s="53">
        <v>40</v>
      </c>
      <c r="F5" s="59">
        <v>40</v>
      </c>
      <c r="G5" s="4"/>
      <c r="H5" s="60"/>
    </row>
    <row r="6" spans="2:8" x14ac:dyDescent="0.25">
      <c r="B6" s="51"/>
      <c r="C6" s="82" t="s">
        <v>10</v>
      </c>
      <c r="D6" s="5" t="s">
        <v>7</v>
      </c>
      <c r="E6" s="53">
        <v>1200</v>
      </c>
      <c r="F6" s="59">
        <v>1200</v>
      </c>
      <c r="G6" s="6"/>
      <c r="H6" s="60"/>
    </row>
    <row r="7" spans="2:8" x14ac:dyDescent="0.25">
      <c r="B7" s="51"/>
      <c r="C7" s="82" t="s">
        <v>11</v>
      </c>
      <c r="D7" s="5" t="s">
        <v>7</v>
      </c>
      <c r="E7" s="53">
        <v>1200</v>
      </c>
      <c r="F7" s="59">
        <v>1200</v>
      </c>
      <c r="G7" s="6"/>
      <c r="H7" s="60"/>
    </row>
    <row r="8" spans="2:8" x14ac:dyDescent="0.25">
      <c r="B8" s="51"/>
      <c r="C8" s="82" t="s">
        <v>12</v>
      </c>
      <c r="D8" s="5" t="s">
        <v>7</v>
      </c>
      <c r="E8" s="53">
        <v>1200</v>
      </c>
      <c r="F8" s="59">
        <v>1200</v>
      </c>
      <c r="G8" s="6"/>
      <c r="H8" s="60"/>
    </row>
    <row r="9" spans="2:8" x14ac:dyDescent="0.25">
      <c r="B9" s="51"/>
      <c r="C9" s="82" t="s">
        <v>13</v>
      </c>
      <c r="D9" s="5" t="s">
        <v>7</v>
      </c>
      <c r="E9" s="53">
        <v>1800</v>
      </c>
      <c r="F9" s="59">
        <v>1800</v>
      </c>
      <c r="G9" s="6"/>
      <c r="H9" s="60"/>
    </row>
    <row r="10" spans="2:8" x14ac:dyDescent="0.25">
      <c r="B10" s="51"/>
      <c r="C10" s="82" t="s">
        <v>14</v>
      </c>
      <c r="D10" s="5" t="s">
        <v>7</v>
      </c>
      <c r="E10" s="53">
        <v>1200</v>
      </c>
      <c r="F10" s="59">
        <v>1200</v>
      </c>
      <c r="G10" s="6"/>
      <c r="H10" s="60"/>
    </row>
    <row r="11" spans="2:8" x14ac:dyDescent="0.25">
      <c r="B11" s="51"/>
      <c r="C11" s="82" t="s">
        <v>15</v>
      </c>
      <c r="D11" s="5" t="s">
        <v>7</v>
      </c>
      <c r="E11" s="53">
        <v>1200</v>
      </c>
      <c r="F11" s="59">
        <v>1200</v>
      </c>
      <c r="G11" s="6"/>
      <c r="H11" s="60"/>
    </row>
    <row r="12" spans="2:8" x14ac:dyDescent="0.25">
      <c r="B12" s="51"/>
      <c r="C12" s="82" t="s">
        <v>16</v>
      </c>
      <c r="D12" s="5" t="s">
        <v>7</v>
      </c>
      <c r="E12" s="53">
        <v>1200</v>
      </c>
      <c r="F12" s="59">
        <v>1200</v>
      </c>
      <c r="G12" s="6"/>
      <c r="H12" s="60"/>
    </row>
    <row r="13" spans="2:8" x14ac:dyDescent="0.25">
      <c r="B13" s="51"/>
      <c r="C13" s="82" t="s">
        <v>17</v>
      </c>
      <c r="D13" s="5" t="s">
        <v>7</v>
      </c>
      <c r="E13" s="53">
        <v>1200</v>
      </c>
      <c r="F13" s="59">
        <v>1200</v>
      </c>
      <c r="G13" s="6"/>
      <c r="H13" s="60"/>
    </row>
    <row r="14" spans="2:8" x14ac:dyDescent="0.25">
      <c r="B14" s="51"/>
      <c r="C14" s="82" t="s">
        <v>18</v>
      </c>
      <c r="D14" s="5" t="s">
        <v>7</v>
      </c>
      <c r="E14" s="53">
        <v>1200</v>
      </c>
      <c r="F14" s="59">
        <v>1200</v>
      </c>
      <c r="G14" s="6"/>
      <c r="H14" s="60"/>
    </row>
    <row r="15" spans="2:8" x14ac:dyDescent="0.25">
      <c r="B15" s="51"/>
      <c r="C15" s="82" t="s">
        <v>19</v>
      </c>
      <c r="D15" s="5" t="s">
        <v>7</v>
      </c>
      <c r="E15" s="53">
        <v>1800</v>
      </c>
      <c r="F15" s="59">
        <v>1800</v>
      </c>
      <c r="G15" s="6"/>
      <c r="H15" s="60"/>
    </row>
    <row r="16" spans="2:8" x14ac:dyDescent="0.25">
      <c r="B16" s="51"/>
      <c r="C16" s="82" t="s">
        <v>20</v>
      </c>
      <c r="D16" s="5" t="s">
        <v>7</v>
      </c>
      <c r="E16" s="53">
        <v>1200</v>
      </c>
      <c r="F16" s="59">
        <v>1200</v>
      </c>
      <c r="G16" s="6"/>
      <c r="H16" s="60"/>
    </row>
    <row r="17" spans="2:8" x14ac:dyDescent="0.25">
      <c r="B17" s="51"/>
      <c r="C17" s="82" t="s">
        <v>21</v>
      </c>
      <c r="D17" s="5" t="s">
        <v>7</v>
      </c>
      <c r="E17" s="53">
        <v>1200</v>
      </c>
      <c r="F17" s="59">
        <v>1200</v>
      </c>
      <c r="G17" s="6"/>
      <c r="H17" s="60"/>
    </row>
    <row r="18" spans="2:8" x14ac:dyDescent="0.25">
      <c r="B18" s="51"/>
      <c r="C18" s="82" t="s">
        <v>22</v>
      </c>
      <c r="D18" s="5" t="s">
        <v>7</v>
      </c>
      <c r="E18" s="53">
        <v>1200</v>
      </c>
      <c r="F18" s="59">
        <v>2550</v>
      </c>
      <c r="G18" s="4"/>
      <c r="H18" s="60"/>
    </row>
    <row r="19" spans="2:8" x14ac:dyDescent="0.25">
      <c r="B19" s="51"/>
      <c r="C19" s="82" t="s">
        <v>23</v>
      </c>
      <c r="D19" s="5" t="s">
        <v>7</v>
      </c>
      <c r="E19" s="53">
        <v>1200</v>
      </c>
      <c r="F19" s="59">
        <v>2550</v>
      </c>
      <c r="G19" s="4"/>
      <c r="H19" s="60"/>
    </row>
    <row r="20" spans="2:8" x14ac:dyDescent="0.25">
      <c r="B20" s="51"/>
      <c r="C20" s="82" t="s">
        <v>24</v>
      </c>
      <c r="D20" s="5" t="s">
        <v>7</v>
      </c>
      <c r="E20" s="53">
        <v>1200</v>
      </c>
      <c r="F20" s="59">
        <v>2550</v>
      </c>
      <c r="G20" s="4"/>
      <c r="H20" s="60"/>
    </row>
    <row r="21" spans="2:8" x14ac:dyDescent="0.25">
      <c r="B21" s="51"/>
      <c r="C21" s="82" t="s">
        <v>25</v>
      </c>
      <c r="D21" s="5" t="s">
        <v>7</v>
      </c>
      <c r="E21" s="53">
        <v>1800</v>
      </c>
      <c r="F21" s="59">
        <v>2550</v>
      </c>
      <c r="G21" s="4"/>
      <c r="H21" s="60"/>
    </row>
    <row r="22" spans="2:8" x14ac:dyDescent="0.25">
      <c r="B22" s="51"/>
      <c r="C22" s="82" t="s">
        <v>26</v>
      </c>
      <c r="D22" s="5" t="s">
        <v>7</v>
      </c>
      <c r="E22" s="53">
        <v>1200</v>
      </c>
      <c r="F22" s="59">
        <v>2550</v>
      </c>
      <c r="G22" s="4"/>
      <c r="H22" s="60"/>
    </row>
    <row r="23" spans="2:8" x14ac:dyDescent="0.25">
      <c r="B23" s="51"/>
      <c r="C23" s="82" t="s">
        <v>27</v>
      </c>
      <c r="D23" s="5" t="s">
        <v>7</v>
      </c>
      <c r="E23" s="53">
        <v>1200</v>
      </c>
      <c r="F23" s="59">
        <v>2550</v>
      </c>
      <c r="G23" s="4"/>
      <c r="H23" s="60"/>
    </row>
    <row r="24" spans="2:8" x14ac:dyDescent="0.25">
      <c r="B24" s="51"/>
      <c r="C24" s="82" t="s">
        <v>28</v>
      </c>
      <c r="D24" s="5" t="s">
        <v>7</v>
      </c>
      <c r="E24" s="53">
        <v>1200</v>
      </c>
      <c r="F24" s="59">
        <v>2550</v>
      </c>
      <c r="G24" s="4"/>
      <c r="H24" s="60"/>
    </row>
    <row r="25" spans="2:8" x14ac:dyDescent="0.25">
      <c r="B25" s="51"/>
      <c r="C25" s="82" t="s">
        <v>29</v>
      </c>
      <c r="D25" s="5" t="s">
        <v>7</v>
      </c>
      <c r="E25" s="53">
        <v>1200</v>
      </c>
      <c r="F25" s="59">
        <v>2550</v>
      </c>
      <c r="G25" s="4"/>
      <c r="H25" s="60"/>
    </row>
    <row r="26" spans="2:8" x14ac:dyDescent="0.25">
      <c r="B26" s="51"/>
      <c r="C26" s="82" t="s">
        <v>30</v>
      </c>
      <c r="D26" s="5" t="s">
        <v>7</v>
      </c>
      <c r="E26" s="53">
        <v>1200</v>
      </c>
      <c r="F26" s="59">
        <v>2550</v>
      </c>
      <c r="G26" s="4"/>
      <c r="H26" s="60"/>
    </row>
    <row r="27" spans="2:8" x14ac:dyDescent="0.25">
      <c r="B27" s="51"/>
      <c r="C27" s="82" t="s">
        <v>31</v>
      </c>
      <c r="D27" s="5" t="s">
        <v>7</v>
      </c>
      <c r="E27" s="53">
        <v>1800</v>
      </c>
      <c r="F27" s="59">
        <v>2550</v>
      </c>
      <c r="G27" s="4"/>
      <c r="H27" s="60"/>
    </row>
    <row r="28" spans="2:8" x14ac:dyDescent="0.25">
      <c r="B28" s="51"/>
      <c r="C28" s="82" t="s">
        <v>32</v>
      </c>
      <c r="D28" s="5" t="s">
        <v>7</v>
      </c>
      <c r="E28" s="53">
        <v>1200</v>
      </c>
      <c r="F28" s="59">
        <v>2550</v>
      </c>
      <c r="G28" s="4"/>
      <c r="H28" s="60"/>
    </row>
    <row r="29" spans="2:8" x14ac:dyDescent="0.25">
      <c r="B29" s="51"/>
      <c r="C29" s="82" t="s">
        <v>33</v>
      </c>
      <c r="D29" s="5" t="s">
        <v>7</v>
      </c>
      <c r="E29" s="53">
        <v>1200</v>
      </c>
      <c r="F29" s="59">
        <v>2550</v>
      </c>
      <c r="G29" s="4"/>
      <c r="H29" s="60"/>
    </row>
    <row r="30" spans="2:8" x14ac:dyDescent="0.25">
      <c r="B30" s="51"/>
      <c r="C30" s="82" t="s">
        <v>34</v>
      </c>
      <c r="D30" s="5" t="s">
        <v>7</v>
      </c>
      <c r="E30" s="53">
        <v>720</v>
      </c>
      <c r="F30" s="59">
        <v>720</v>
      </c>
      <c r="G30" s="6"/>
      <c r="H30" s="60"/>
    </row>
    <row r="31" spans="2:8" x14ac:dyDescent="0.25">
      <c r="B31" s="51"/>
      <c r="C31" s="82" t="s">
        <v>35</v>
      </c>
      <c r="D31" s="5" t="s">
        <v>7</v>
      </c>
      <c r="E31" s="53">
        <v>720</v>
      </c>
      <c r="F31" s="59">
        <v>720</v>
      </c>
      <c r="G31" s="6"/>
      <c r="H31" s="60"/>
    </row>
    <row r="32" spans="2:8" x14ac:dyDescent="0.25">
      <c r="B32" s="51"/>
      <c r="C32" s="82" t="s">
        <v>36</v>
      </c>
      <c r="D32" s="5" t="s">
        <v>7</v>
      </c>
      <c r="E32" s="53">
        <v>720</v>
      </c>
      <c r="F32" s="59">
        <v>720</v>
      </c>
      <c r="G32" s="6"/>
      <c r="H32" s="60"/>
    </row>
    <row r="33" spans="2:8" x14ac:dyDescent="0.25">
      <c r="B33" s="51"/>
      <c r="C33" s="82" t="s">
        <v>37</v>
      </c>
      <c r="D33" s="5" t="s">
        <v>7</v>
      </c>
      <c r="E33" s="53">
        <v>720</v>
      </c>
      <c r="F33" s="59">
        <v>720</v>
      </c>
      <c r="G33" s="6"/>
      <c r="H33" s="60"/>
    </row>
    <row r="34" spans="2:8" ht="15.75" thickBot="1" x14ac:dyDescent="0.3">
      <c r="B34" s="51"/>
      <c r="C34" s="83" t="s">
        <v>38</v>
      </c>
      <c r="D34" s="61" t="s">
        <v>7</v>
      </c>
      <c r="E34" s="62">
        <v>720</v>
      </c>
      <c r="F34" s="63">
        <v>720</v>
      </c>
      <c r="G34" s="13"/>
      <c r="H34" s="64"/>
    </row>
    <row r="35" spans="2:8" x14ac:dyDescent="0.25">
      <c r="B35" s="47" t="s">
        <v>182</v>
      </c>
      <c r="C35" s="81" t="s">
        <v>89</v>
      </c>
      <c r="D35" s="55" t="s">
        <v>44</v>
      </c>
      <c r="E35" s="57">
        <v>1200</v>
      </c>
      <c r="F35" s="65">
        <v>1200</v>
      </c>
      <c r="G35" s="8"/>
      <c r="H35" s="58"/>
    </row>
    <row r="36" spans="2:8" x14ac:dyDescent="0.25">
      <c r="B36" s="48"/>
      <c r="C36" s="82" t="s">
        <v>90</v>
      </c>
      <c r="D36" s="5" t="s">
        <v>4</v>
      </c>
      <c r="E36" s="59">
        <v>1200</v>
      </c>
      <c r="F36" s="66">
        <v>1200</v>
      </c>
      <c r="G36" s="4"/>
      <c r="H36" s="60"/>
    </row>
    <row r="37" spans="2:8" x14ac:dyDescent="0.25">
      <c r="B37" s="48"/>
      <c r="C37" s="82" t="s">
        <v>91</v>
      </c>
      <c r="D37" s="5" t="s">
        <v>4</v>
      </c>
      <c r="E37" s="59">
        <v>1300</v>
      </c>
      <c r="F37" s="66">
        <v>1300</v>
      </c>
      <c r="G37" s="4"/>
      <c r="H37" s="60"/>
    </row>
    <row r="38" spans="2:8" x14ac:dyDescent="0.25">
      <c r="B38" s="48"/>
      <c r="C38" s="82" t="s">
        <v>92</v>
      </c>
      <c r="D38" s="5" t="s">
        <v>44</v>
      </c>
      <c r="E38" s="59">
        <v>1300</v>
      </c>
      <c r="F38" s="66">
        <v>1300</v>
      </c>
      <c r="G38" s="4"/>
      <c r="H38" s="60"/>
    </row>
    <row r="39" spans="2:8" x14ac:dyDescent="0.25">
      <c r="B39" s="48"/>
      <c r="C39" s="82" t="s">
        <v>93</v>
      </c>
      <c r="D39" s="5" t="s">
        <v>45</v>
      </c>
      <c r="E39" s="59">
        <v>6500</v>
      </c>
      <c r="F39" s="66">
        <v>6500</v>
      </c>
      <c r="G39" s="4"/>
      <c r="H39" s="60"/>
    </row>
    <row r="40" spans="2:8" x14ac:dyDescent="0.25">
      <c r="B40" s="48"/>
      <c r="C40" s="82" t="s">
        <v>96</v>
      </c>
      <c r="D40" s="5" t="s">
        <v>4</v>
      </c>
      <c r="E40" s="59">
        <v>3100</v>
      </c>
      <c r="F40" s="66">
        <v>3100</v>
      </c>
      <c r="G40" s="4"/>
      <c r="H40" s="60"/>
    </row>
    <row r="41" spans="2:8" x14ac:dyDescent="0.25">
      <c r="B41" s="48"/>
      <c r="C41" s="82" t="s">
        <v>97</v>
      </c>
      <c r="D41" s="5" t="s">
        <v>7</v>
      </c>
      <c r="E41" s="59">
        <v>3100</v>
      </c>
      <c r="F41" s="66">
        <v>3100</v>
      </c>
      <c r="G41" s="4"/>
      <c r="H41" s="60"/>
    </row>
    <row r="42" spans="2:8" x14ac:dyDescent="0.25">
      <c r="B42" s="48"/>
      <c r="C42" s="82" t="s">
        <v>98</v>
      </c>
      <c r="D42" s="5" t="s">
        <v>4</v>
      </c>
      <c r="E42" s="59">
        <v>3100</v>
      </c>
      <c r="F42" s="66">
        <v>1000</v>
      </c>
      <c r="G42" s="4"/>
      <c r="H42" s="60"/>
    </row>
    <row r="43" spans="2:8" x14ac:dyDescent="0.25">
      <c r="B43" s="48"/>
      <c r="C43" s="82" t="s">
        <v>99</v>
      </c>
      <c r="D43" s="5" t="s">
        <v>7</v>
      </c>
      <c r="E43" s="59">
        <v>3100</v>
      </c>
      <c r="F43" s="66">
        <v>3100</v>
      </c>
      <c r="G43" s="4"/>
      <c r="H43" s="60"/>
    </row>
    <row r="44" spans="2:8" x14ac:dyDescent="0.25">
      <c r="B44" s="48"/>
      <c r="C44" s="82" t="s">
        <v>100</v>
      </c>
      <c r="D44" s="5" t="s">
        <v>4</v>
      </c>
      <c r="E44" s="59">
        <v>1200</v>
      </c>
      <c r="F44" s="66">
        <v>1300</v>
      </c>
      <c r="G44" s="4">
        <v>1300</v>
      </c>
      <c r="H44" s="60"/>
    </row>
    <row r="45" spans="2:8" ht="15.75" thickBot="1" x14ac:dyDescent="0.3">
      <c r="B45" s="49"/>
      <c r="C45" s="84" t="s">
        <v>101</v>
      </c>
      <c r="D45" s="67" t="s">
        <v>4</v>
      </c>
      <c r="E45" s="68">
        <v>1300</v>
      </c>
      <c r="F45" s="69">
        <v>1300</v>
      </c>
      <c r="G45" s="14"/>
      <c r="H45" s="70"/>
    </row>
    <row r="46" spans="2:8" x14ac:dyDescent="0.25">
      <c r="B46" s="50" t="s">
        <v>183</v>
      </c>
      <c r="C46" s="81" t="s">
        <v>76</v>
      </c>
      <c r="D46" s="55" t="s">
        <v>43</v>
      </c>
      <c r="E46" s="59">
        <v>2000</v>
      </c>
      <c r="F46" s="56">
        <v>2000</v>
      </c>
      <c r="G46" s="8"/>
      <c r="H46" s="58"/>
    </row>
    <row r="47" spans="2:8" x14ac:dyDescent="0.25">
      <c r="B47" s="51"/>
      <c r="C47" s="82" t="s">
        <v>77</v>
      </c>
      <c r="D47" s="5" t="s">
        <v>43</v>
      </c>
      <c r="E47" s="59">
        <v>6000</v>
      </c>
      <c r="F47" s="4">
        <v>10000</v>
      </c>
      <c r="G47" s="4">
        <v>10000</v>
      </c>
      <c r="H47" s="60"/>
    </row>
    <row r="48" spans="2:8" x14ac:dyDescent="0.25">
      <c r="B48" s="51"/>
      <c r="C48" s="82" t="s">
        <v>78</v>
      </c>
      <c r="D48" s="5" t="s">
        <v>43</v>
      </c>
      <c r="E48" s="59">
        <v>7000</v>
      </c>
      <c r="F48" s="53">
        <v>7000</v>
      </c>
      <c r="G48" s="4"/>
      <c r="H48" s="60"/>
    </row>
    <row r="49" spans="2:8" x14ac:dyDescent="0.25">
      <c r="B49" s="51"/>
      <c r="C49" s="82" t="s">
        <v>79</v>
      </c>
      <c r="D49" s="5" t="s">
        <v>43</v>
      </c>
      <c r="E49" s="59">
        <v>7000</v>
      </c>
      <c r="F49" s="53">
        <v>7000</v>
      </c>
      <c r="G49" s="4"/>
      <c r="H49" s="60"/>
    </row>
    <row r="50" spans="2:8" x14ac:dyDescent="0.25">
      <c r="B50" s="51"/>
      <c r="C50" s="82" t="s">
        <v>80</v>
      </c>
      <c r="D50" s="5" t="s">
        <v>43</v>
      </c>
      <c r="E50" s="59">
        <v>7000</v>
      </c>
      <c r="F50" s="53">
        <v>7000</v>
      </c>
      <c r="G50" s="4"/>
      <c r="H50" s="60"/>
    </row>
    <row r="51" spans="2:8" x14ac:dyDescent="0.25">
      <c r="B51" s="51"/>
      <c r="C51" s="82" t="s">
        <v>81</v>
      </c>
      <c r="D51" s="5" t="s">
        <v>43</v>
      </c>
      <c r="E51" s="59">
        <v>7000</v>
      </c>
      <c r="F51" s="53">
        <v>7000</v>
      </c>
      <c r="G51" s="4"/>
      <c r="H51" s="60"/>
    </row>
    <row r="52" spans="2:8" x14ac:dyDescent="0.25">
      <c r="B52" s="51"/>
      <c r="C52" s="82" t="s">
        <v>82</v>
      </c>
      <c r="D52" s="5" t="s">
        <v>43</v>
      </c>
      <c r="E52" s="59">
        <v>1200</v>
      </c>
      <c r="F52" s="53">
        <v>1200</v>
      </c>
      <c r="G52" s="4"/>
      <c r="H52" s="60"/>
    </row>
    <row r="53" spans="2:8" x14ac:dyDescent="0.25">
      <c r="B53" s="51"/>
      <c r="C53" s="82" t="s">
        <v>83</v>
      </c>
      <c r="D53" s="5" t="s">
        <v>43</v>
      </c>
      <c r="E53" s="59">
        <v>1200</v>
      </c>
      <c r="F53" s="53">
        <v>1200</v>
      </c>
      <c r="G53" s="4"/>
      <c r="H53" s="60"/>
    </row>
    <row r="54" spans="2:8" x14ac:dyDescent="0.25">
      <c r="B54" s="51"/>
      <c r="C54" s="82" t="s">
        <v>94</v>
      </c>
      <c r="D54" s="5" t="s">
        <v>46</v>
      </c>
      <c r="E54" s="59">
        <v>1200</v>
      </c>
      <c r="F54" s="53">
        <v>1200</v>
      </c>
      <c r="G54" s="4"/>
      <c r="H54" s="60"/>
    </row>
    <row r="55" spans="2:8" x14ac:dyDescent="0.25">
      <c r="B55" s="51"/>
      <c r="C55" s="82" t="s">
        <v>95</v>
      </c>
      <c r="D55" s="5" t="s">
        <v>46</v>
      </c>
      <c r="E55" s="59">
        <v>1250</v>
      </c>
      <c r="F55" s="53">
        <v>1200</v>
      </c>
      <c r="G55" s="4"/>
      <c r="H55" s="60"/>
    </row>
    <row r="56" spans="2:8" x14ac:dyDescent="0.25">
      <c r="B56" s="51"/>
      <c r="C56" s="82" t="s">
        <v>102</v>
      </c>
      <c r="D56" s="5" t="s">
        <v>47</v>
      </c>
      <c r="E56" s="59">
        <v>8000</v>
      </c>
      <c r="F56" s="53">
        <v>450</v>
      </c>
      <c r="G56" s="4"/>
      <c r="H56" s="60"/>
    </row>
    <row r="57" spans="2:8" ht="15.75" thickBot="1" x14ac:dyDescent="0.3">
      <c r="B57" s="52"/>
      <c r="C57" s="85" t="s">
        <v>180</v>
      </c>
      <c r="D57" s="71" t="s">
        <v>39</v>
      </c>
      <c r="E57" s="72"/>
      <c r="F57" s="72"/>
      <c r="G57" s="12"/>
      <c r="H57" s="73"/>
    </row>
    <row r="58" spans="2:8" x14ac:dyDescent="0.25">
      <c r="B58" s="47" t="s">
        <v>184</v>
      </c>
      <c r="C58" s="86" t="s">
        <v>215</v>
      </c>
      <c r="D58" s="74" t="s">
        <v>40</v>
      </c>
      <c r="E58" s="75"/>
      <c r="F58" s="76"/>
      <c r="G58" s="7"/>
      <c r="H58" s="77"/>
    </row>
    <row r="59" spans="2:8" x14ac:dyDescent="0.25">
      <c r="B59" s="48"/>
      <c r="C59" s="82" t="s">
        <v>216</v>
      </c>
      <c r="D59" s="5"/>
      <c r="E59" s="59"/>
      <c r="F59" s="53"/>
      <c r="G59" s="4"/>
      <c r="H59" s="60"/>
    </row>
    <row r="60" spans="2:8" x14ac:dyDescent="0.25">
      <c r="B60" s="48"/>
      <c r="C60" s="82" t="s">
        <v>65</v>
      </c>
      <c r="D60" s="5" t="s">
        <v>41</v>
      </c>
      <c r="E60" s="59">
        <v>7500</v>
      </c>
      <c r="F60" s="59">
        <v>7500</v>
      </c>
      <c r="G60" s="4"/>
      <c r="H60" s="60"/>
    </row>
    <row r="61" spans="2:8" x14ac:dyDescent="0.25">
      <c r="B61" s="48"/>
      <c r="C61" s="82" t="s">
        <v>66</v>
      </c>
      <c r="D61" s="5" t="s">
        <v>41</v>
      </c>
      <c r="E61" s="59">
        <v>7500</v>
      </c>
      <c r="F61" s="53">
        <v>6800</v>
      </c>
      <c r="G61" s="4"/>
      <c r="H61" s="60"/>
    </row>
    <row r="62" spans="2:8" x14ac:dyDescent="0.25">
      <c r="B62" s="48"/>
      <c r="C62" s="82" t="s">
        <v>67</v>
      </c>
      <c r="D62" s="5" t="s">
        <v>41</v>
      </c>
      <c r="E62" s="59">
        <v>8500</v>
      </c>
      <c r="F62" s="53">
        <v>7200</v>
      </c>
      <c r="G62" s="4"/>
      <c r="H62" s="60"/>
    </row>
    <row r="63" spans="2:8" x14ac:dyDescent="0.25">
      <c r="B63" s="48"/>
      <c r="C63" s="82" t="s">
        <v>68</v>
      </c>
      <c r="D63" s="5" t="s">
        <v>41</v>
      </c>
      <c r="E63" s="59">
        <v>8000</v>
      </c>
      <c r="F63" s="53">
        <v>9000</v>
      </c>
      <c r="G63" s="4"/>
      <c r="H63" s="60"/>
    </row>
    <row r="64" spans="2:8" x14ac:dyDescent="0.25">
      <c r="B64" s="48"/>
      <c r="C64" s="82" t="s">
        <v>69</v>
      </c>
      <c r="D64" s="5" t="s">
        <v>41</v>
      </c>
      <c r="E64" s="59">
        <v>6000</v>
      </c>
      <c r="F64" s="53">
        <v>6000</v>
      </c>
      <c r="G64" s="4"/>
      <c r="H64" s="60"/>
    </row>
    <row r="65" spans="2:8" x14ac:dyDescent="0.25">
      <c r="B65" s="48"/>
      <c r="C65" s="82" t="s">
        <v>70</v>
      </c>
      <c r="D65" s="5" t="s">
        <v>41</v>
      </c>
      <c r="E65" s="59">
        <v>6000</v>
      </c>
      <c r="F65" s="53">
        <v>7000</v>
      </c>
      <c r="G65" s="4"/>
      <c r="H65" s="60"/>
    </row>
    <row r="66" spans="2:8" x14ac:dyDescent="0.25">
      <c r="B66" s="48"/>
      <c r="C66" s="82" t="s">
        <v>71</v>
      </c>
      <c r="D66" s="5" t="s">
        <v>41</v>
      </c>
      <c r="E66" s="59">
        <v>7800</v>
      </c>
      <c r="F66" s="53">
        <v>7000</v>
      </c>
      <c r="G66" s="4"/>
      <c r="H66" s="60"/>
    </row>
    <row r="67" spans="2:8" x14ac:dyDescent="0.25">
      <c r="B67" s="48"/>
      <c r="C67" s="82" t="s">
        <v>72</v>
      </c>
      <c r="D67" s="5" t="s">
        <v>41</v>
      </c>
      <c r="E67" s="59">
        <v>6000</v>
      </c>
      <c r="F67" s="53">
        <v>6000</v>
      </c>
      <c r="G67" s="4"/>
      <c r="H67" s="60"/>
    </row>
    <row r="68" spans="2:8" x14ac:dyDescent="0.25">
      <c r="B68" s="48"/>
      <c r="C68" s="82" t="s">
        <v>73</v>
      </c>
      <c r="D68" s="5" t="s">
        <v>41</v>
      </c>
      <c r="E68" s="59">
        <v>3500</v>
      </c>
      <c r="F68" s="53">
        <v>1800</v>
      </c>
      <c r="G68" s="4"/>
      <c r="H68" s="60"/>
    </row>
    <row r="69" spans="2:8" x14ac:dyDescent="0.25">
      <c r="B69" s="48"/>
      <c r="C69" s="82" t="s">
        <v>74</v>
      </c>
      <c r="D69" s="5" t="s">
        <v>41</v>
      </c>
      <c r="E69" s="59">
        <v>4400</v>
      </c>
      <c r="F69" s="53">
        <v>1500</v>
      </c>
      <c r="G69" s="4"/>
      <c r="H69" s="60"/>
    </row>
    <row r="70" spans="2:8" x14ac:dyDescent="0.25">
      <c r="B70" s="48"/>
      <c r="C70" s="82" t="s">
        <v>75</v>
      </c>
      <c r="D70" s="5" t="s">
        <v>42</v>
      </c>
      <c r="E70" s="59">
        <v>3000</v>
      </c>
      <c r="F70" s="53">
        <v>4800</v>
      </c>
      <c r="G70" s="4"/>
      <c r="H70" s="60"/>
    </row>
    <row r="71" spans="2:8" ht="30" x14ac:dyDescent="0.25">
      <c r="B71" s="48"/>
      <c r="C71" s="82" t="s">
        <v>193</v>
      </c>
      <c r="D71" s="5" t="s">
        <v>43</v>
      </c>
      <c r="E71" s="59"/>
      <c r="F71" s="53">
        <v>60</v>
      </c>
      <c r="G71" s="4"/>
      <c r="H71" s="60"/>
    </row>
    <row r="72" spans="2:8" ht="30" x14ac:dyDescent="0.25">
      <c r="B72" s="48"/>
      <c r="C72" s="82" t="s">
        <v>194</v>
      </c>
      <c r="D72" s="5" t="s">
        <v>43</v>
      </c>
      <c r="E72" s="59"/>
      <c r="F72" s="53">
        <v>60</v>
      </c>
      <c r="G72" s="4"/>
      <c r="H72" s="60"/>
    </row>
    <row r="73" spans="2:8" ht="15.75" thickBot="1" x14ac:dyDescent="0.3">
      <c r="B73" s="49"/>
      <c r="C73" s="83" t="s">
        <v>185</v>
      </c>
      <c r="D73" s="61" t="s">
        <v>41</v>
      </c>
      <c r="E73" s="63"/>
      <c r="F73" s="62"/>
      <c r="G73" s="4"/>
      <c r="H73" s="60"/>
    </row>
    <row r="74" spans="2:8" x14ac:dyDescent="0.25">
      <c r="B74" s="47" t="s">
        <v>186</v>
      </c>
      <c r="C74" s="81" t="s">
        <v>103</v>
      </c>
      <c r="D74" s="55" t="s">
        <v>7</v>
      </c>
      <c r="E74" s="57"/>
      <c r="F74" s="57"/>
      <c r="G74" s="8"/>
      <c r="H74" s="58"/>
    </row>
    <row r="75" spans="2:8" x14ac:dyDescent="0.25">
      <c r="B75" s="48"/>
      <c r="C75" s="82" t="s">
        <v>104</v>
      </c>
      <c r="D75" s="5" t="s">
        <v>48</v>
      </c>
      <c r="E75" s="59">
        <v>800</v>
      </c>
      <c r="F75" s="59">
        <v>800</v>
      </c>
      <c r="G75" s="4"/>
      <c r="H75" s="60"/>
    </row>
    <row r="76" spans="2:8" x14ac:dyDescent="0.25">
      <c r="B76" s="48"/>
      <c r="C76" s="82" t="s">
        <v>105</v>
      </c>
      <c r="D76" s="5" t="s">
        <v>48</v>
      </c>
      <c r="E76" s="59">
        <v>580</v>
      </c>
      <c r="F76" s="59">
        <v>580</v>
      </c>
      <c r="G76" s="4"/>
      <c r="H76" s="60"/>
    </row>
    <row r="77" spans="2:8" x14ac:dyDescent="0.25">
      <c r="B77" s="48"/>
      <c r="C77" s="82" t="s">
        <v>106</v>
      </c>
      <c r="D77" s="5" t="s">
        <v>49</v>
      </c>
      <c r="E77" s="59">
        <v>150</v>
      </c>
      <c r="F77" s="59">
        <v>150</v>
      </c>
      <c r="G77" s="4"/>
      <c r="H77" s="60"/>
    </row>
    <row r="78" spans="2:8" x14ac:dyDescent="0.25">
      <c r="B78" s="48"/>
      <c r="C78" s="82" t="s">
        <v>107</v>
      </c>
      <c r="D78" s="5" t="s">
        <v>7</v>
      </c>
      <c r="E78" s="59">
        <v>110</v>
      </c>
      <c r="F78" s="59">
        <v>4</v>
      </c>
      <c r="G78" s="4"/>
      <c r="H78" s="60"/>
    </row>
    <row r="79" spans="2:8" x14ac:dyDescent="0.25">
      <c r="B79" s="48"/>
      <c r="C79" s="82" t="s">
        <v>108</v>
      </c>
      <c r="D79" s="5" t="s">
        <v>7</v>
      </c>
      <c r="E79" s="59">
        <v>461</v>
      </c>
      <c r="F79" s="59">
        <v>461</v>
      </c>
      <c r="G79" s="4"/>
      <c r="H79" s="60"/>
    </row>
    <row r="80" spans="2:8" x14ac:dyDescent="0.25">
      <c r="B80" s="48"/>
      <c r="C80" s="82" t="s">
        <v>109</v>
      </c>
      <c r="D80" s="5" t="s">
        <v>50</v>
      </c>
      <c r="E80" s="59">
        <v>80</v>
      </c>
      <c r="F80" s="59">
        <v>80</v>
      </c>
      <c r="G80" s="4"/>
      <c r="H80" s="60"/>
    </row>
    <row r="81" spans="2:9" x14ac:dyDescent="0.25">
      <c r="B81" s="48"/>
      <c r="C81" s="82" t="s">
        <v>110</v>
      </c>
      <c r="D81" s="5" t="s">
        <v>7</v>
      </c>
      <c r="E81" s="59">
        <v>177</v>
      </c>
      <c r="F81" s="59">
        <v>177</v>
      </c>
      <c r="G81" s="4"/>
      <c r="H81" s="60"/>
    </row>
    <row r="82" spans="2:9" x14ac:dyDescent="0.25">
      <c r="B82" s="48"/>
      <c r="C82" s="82" t="s">
        <v>111</v>
      </c>
      <c r="D82" s="5" t="s">
        <v>7</v>
      </c>
      <c r="E82" s="59">
        <v>63</v>
      </c>
      <c r="F82" s="59">
        <v>63</v>
      </c>
      <c r="G82" s="4"/>
      <c r="H82" s="60"/>
    </row>
    <row r="83" spans="2:9" x14ac:dyDescent="0.25">
      <c r="B83" s="48"/>
      <c r="C83" s="82" t="s">
        <v>112</v>
      </c>
      <c r="D83" s="5" t="s">
        <v>51</v>
      </c>
      <c r="E83" s="59">
        <v>150</v>
      </c>
      <c r="F83" s="59">
        <v>150</v>
      </c>
      <c r="G83" s="4"/>
      <c r="H83" s="60"/>
    </row>
    <row r="84" spans="2:9" x14ac:dyDescent="0.25">
      <c r="B84" s="48"/>
      <c r="C84" s="82" t="s">
        <v>113</v>
      </c>
      <c r="D84" s="5" t="s">
        <v>51</v>
      </c>
      <c r="E84" s="59">
        <v>150</v>
      </c>
      <c r="F84" s="59">
        <v>150</v>
      </c>
      <c r="G84" s="4"/>
      <c r="H84" s="60"/>
    </row>
    <row r="85" spans="2:9" x14ac:dyDescent="0.25">
      <c r="B85" s="48"/>
      <c r="C85" s="82" t="s">
        <v>114</v>
      </c>
      <c r="D85" s="5" t="s">
        <v>51</v>
      </c>
      <c r="E85" s="59">
        <v>150</v>
      </c>
      <c r="F85" s="59">
        <v>150</v>
      </c>
      <c r="G85" s="4"/>
      <c r="H85" s="60"/>
    </row>
    <row r="86" spans="2:9" x14ac:dyDescent="0.25">
      <c r="B86" s="48"/>
      <c r="C86" s="82" t="s">
        <v>115</v>
      </c>
      <c r="D86" s="5" t="s">
        <v>52</v>
      </c>
      <c r="E86" s="59">
        <v>300</v>
      </c>
      <c r="F86" s="59">
        <v>300</v>
      </c>
      <c r="G86" s="4"/>
      <c r="H86" s="60"/>
    </row>
    <row r="87" spans="2:9" x14ac:dyDescent="0.25">
      <c r="B87" s="48"/>
      <c r="C87" s="82" t="s">
        <v>116</v>
      </c>
      <c r="D87" s="5" t="s">
        <v>7</v>
      </c>
      <c r="E87" s="59">
        <v>150</v>
      </c>
      <c r="F87" s="59">
        <v>150</v>
      </c>
      <c r="G87" s="4"/>
      <c r="H87" s="60"/>
    </row>
    <row r="88" spans="2:9" x14ac:dyDescent="0.25">
      <c r="B88" s="48"/>
      <c r="C88" s="82" t="s">
        <v>117</v>
      </c>
      <c r="D88" s="5" t="s">
        <v>9</v>
      </c>
      <c r="E88" s="59">
        <v>42</v>
      </c>
      <c r="F88" s="59">
        <v>42</v>
      </c>
      <c r="G88" s="4"/>
      <c r="H88" s="60"/>
      <c r="I88" s="46">
        <f>AVERAGE(F80:F81,F97,F76)</f>
        <v>233</v>
      </c>
    </row>
    <row r="89" spans="2:9" x14ac:dyDescent="0.25">
      <c r="B89" s="48"/>
      <c r="C89" s="82" t="s">
        <v>118</v>
      </c>
      <c r="D89" s="5" t="s">
        <v>53</v>
      </c>
      <c r="E89" s="59">
        <v>42</v>
      </c>
      <c r="F89" s="59">
        <v>42</v>
      </c>
      <c r="G89" s="4"/>
      <c r="H89" s="60"/>
    </row>
    <row r="90" spans="2:9" x14ac:dyDescent="0.25">
      <c r="B90" s="48"/>
      <c r="C90" s="82" t="s">
        <v>119</v>
      </c>
      <c r="D90" s="5" t="s">
        <v>7</v>
      </c>
      <c r="E90" s="59">
        <v>174</v>
      </c>
      <c r="F90" s="59">
        <v>174</v>
      </c>
      <c r="G90" s="4"/>
      <c r="H90" s="60"/>
    </row>
    <row r="91" spans="2:9" x14ac:dyDescent="0.25">
      <c r="B91" s="48"/>
      <c r="C91" s="82" t="s">
        <v>120</v>
      </c>
      <c r="D91" s="5" t="s">
        <v>7</v>
      </c>
      <c r="E91" s="59">
        <v>50</v>
      </c>
      <c r="F91" s="59">
        <v>50</v>
      </c>
      <c r="G91" s="4"/>
      <c r="H91" s="60"/>
    </row>
    <row r="92" spans="2:9" x14ac:dyDescent="0.25">
      <c r="B92" s="48"/>
      <c r="C92" s="82" t="s">
        <v>121</v>
      </c>
      <c r="D92" s="5" t="s">
        <v>7</v>
      </c>
      <c r="E92" s="59">
        <v>2300</v>
      </c>
      <c r="F92" s="59">
        <v>2300</v>
      </c>
      <c r="G92" s="4"/>
      <c r="H92" s="60"/>
    </row>
    <row r="93" spans="2:9" x14ac:dyDescent="0.25">
      <c r="B93" s="48"/>
      <c r="C93" s="82" t="s">
        <v>122</v>
      </c>
      <c r="D93" s="5" t="s">
        <v>54</v>
      </c>
      <c r="E93" s="59">
        <v>35</v>
      </c>
      <c r="F93" s="59">
        <v>35</v>
      </c>
      <c r="G93" s="4"/>
      <c r="H93" s="60"/>
    </row>
    <row r="94" spans="2:9" x14ac:dyDescent="0.25">
      <c r="B94" s="48"/>
      <c r="C94" s="82" t="s">
        <v>123</v>
      </c>
      <c r="D94" s="5" t="s">
        <v>7</v>
      </c>
      <c r="E94" s="59">
        <v>900</v>
      </c>
      <c r="F94" s="59">
        <v>900</v>
      </c>
      <c r="G94" s="4"/>
      <c r="H94" s="60"/>
    </row>
    <row r="95" spans="2:9" x14ac:dyDescent="0.25">
      <c r="B95" s="48"/>
      <c r="C95" s="82" t="s">
        <v>124</v>
      </c>
      <c r="D95" s="5" t="s">
        <v>51</v>
      </c>
      <c r="E95" s="59">
        <v>370</v>
      </c>
      <c r="F95" s="59">
        <v>370</v>
      </c>
      <c r="G95" s="4"/>
      <c r="H95" s="60"/>
    </row>
    <row r="96" spans="2:9" x14ac:dyDescent="0.25">
      <c r="B96" s="48"/>
      <c r="C96" s="82" t="s">
        <v>125</v>
      </c>
      <c r="D96" s="5" t="s">
        <v>51</v>
      </c>
      <c r="E96" s="59">
        <v>45</v>
      </c>
      <c r="F96" s="59">
        <v>45</v>
      </c>
      <c r="G96" s="4"/>
      <c r="H96" s="60"/>
    </row>
    <row r="97" spans="2:8" x14ac:dyDescent="0.25">
      <c r="B97" s="48"/>
      <c r="C97" s="82" t="s">
        <v>126</v>
      </c>
      <c r="D97" s="5" t="s">
        <v>55</v>
      </c>
      <c r="E97" s="59">
        <v>95</v>
      </c>
      <c r="F97" s="59">
        <v>95</v>
      </c>
      <c r="G97" s="4"/>
      <c r="H97" s="60"/>
    </row>
    <row r="98" spans="2:8" ht="15.75" thickBot="1" x14ac:dyDescent="0.3">
      <c r="B98" s="49"/>
      <c r="C98" s="85" t="s">
        <v>127</v>
      </c>
      <c r="D98" s="71" t="s">
        <v>9</v>
      </c>
      <c r="E98" s="72">
        <v>33</v>
      </c>
      <c r="F98" s="72">
        <v>33</v>
      </c>
      <c r="G98" s="12"/>
      <c r="H98" s="73"/>
    </row>
    <row r="99" spans="2:8" x14ac:dyDescent="0.25">
      <c r="B99" s="47" t="s">
        <v>187</v>
      </c>
      <c r="C99" s="81" t="s">
        <v>84</v>
      </c>
      <c r="D99" s="55" t="s">
        <v>4</v>
      </c>
      <c r="E99" s="57">
        <v>6000</v>
      </c>
      <c r="F99" s="56">
        <v>6000</v>
      </c>
      <c r="G99" s="8"/>
      <c r="H99" s="58"/>
    </row>
    <row r="100" spans="2:8" x14ac:dyDescent="0.25">
      <c r="B100" s="48"/>
      <c r="C100" s="82" t="s">
        <v>85</v>
      </c>
      <c r="D100" s="5" t="s">
        <v>4</v>
      </c>
      <c r="E100" s="59">
        <v>7000</v>
      </c>
      <c r="F100" s="53">
        <v>7000</v>
      </c>
      <c r="G100" s="4"/>
      <c r="H100" s="60"/>
    </row>
    <row r="101" spans="2:8" x14ac:dyDescent="0.25">
      <c r="B101" s="48"/>
      <c r="C101" s="82" t="s">
        <v>86</v>
      </c>
      <c r="D101" s="5" t="s">
        <v>4</v>
      </c>
      <c r="E101" s="59">
        <v>7000</v>
      </c>
      <c r="F101" s="59">
        <v>2000</v>
      </c>
      <c r="G101" s="4"/>
      <c r="H101" s="60"/>
    </row>
    <row r="102" spans="2:8" x14ac:dyDescent="0.25">
      <c r="B102" s="48"/>
      <c r="C102" s="82" t="s">
        <v>87</v>
      </c>
      <c r="D102" s="5" t="s">
        <v>4</v>
      </c>
      <c r="E102" s="59">
        <v>7000</v>
      </c>
      <c r="F102" s="53">
        <v>3000</v>
      </c>
      <c r="G102" s="4"/>
      <c r="H102" s="60"/>
    </row>
    <row r="103" spans="2:8" ht="15.75" thickBot="1" x14ac:dyDescent="0.3">
      <c r="B103" s="49"/>
      <c r="C103" s="85" t="s">
        <v>88</v>
      </c>
      <c r="D103" s="71" t="s">
        <v>4</v>
      </c>
      <c r="E103" s="72">
        <v>7000</v>
      </c>
      <c r="F103" s="78">
        <v>2000</v>
      </c>
      <c r="G103" s="12"/>
      <c r="H103" s="73"/>
    </row>
    <row r="104" spans="2:8" x14ac:dyDescent="0.25">
      <c r="B104" s="50" t="s">
        <v>189</v>
      </c>
      <c r="C104" s="87" t="s">
        <v>136</v>
      </c>
      <c r="D104" s="15" t="s">
        <v>57</v>
      </c>
      <c r="E104" s="65">
        <v>10</v>
      </c>
      <c r="F104" s="65">
        <v>10</v>
      </c>
      <c r="G104" s="8"/>
      <c r="H104" s="58"/>
    </row>
    <row r="105" spans="2:8" x14ac:dyDescent="0.25">
      <c r="B105" s="51"/>
      <c r="C105" s="88" t="s">
        <v>137</v>
      </c>
      <c r="D105" s="16" t="s">
        <v>57</v>
      </c>
      <c r="E105" s="66">
        <v>7</v>
      </c>
      <c r="F105" s="66">
        <v>7</v>
      </c>
      <c r="G105" s="4"/>
      <c r="H105" s="60"/>
    </row>
    <row r="106" spans="2:8" x14ac:dyDescent="0.25">
      <c r="B106" s="51"/>
      <c r="C106" s="88" t="s">
        <v>138</v>
      </c>
      <c r="D106" s="16" t="s">
        <v>57</v>
      </c>
      <c r="E106" s="66"/>
      <c r="F106" s="66"/>
      <c r="G106" s="4"/>
      <c r="H106" s="60"/>
    </row>
    <row r="107" spans="2:8" ht="15.75" thickBot="1" x14ac:dyDescent="0.3">
      <c r="B107" s="52"/>
      <c r="C107" s="89" t="s">
        <v>139</v>
      </c>
      <c r="D107" s="17" t="s">
        <v>59</v>
      </c>
      <c r="E107" s="79">
        <v>25</v>
      </c>
      <c r="F107" s="79">
        <v>25</v>
      </c>
      <c r="G107" s="12"/>
      <c r="H107" s="73"/>
    </row>
    <row r="108" spans="2:8" x14ac:dyDescent="0.25">
      <c r="B108" s="47" t="s">
        <v>190</v>
      </c>
      <c r="C108" s="87" t="s">
        <v>167</v>
      </c>
      <c r="D108" s="15" t="s">
        <v>39</v>
      </c>
      <c r="E108" s="65"/>
      <c r="F108" s="65"/>
      <c r="G108" s="15"/>
      <c r="H108" s="58"/>
    </row>
    <row r="109" spans="2:8" x14ac:dyDescent="0.25">
      <c r="B109" s="48"/>
      <c r="C109" s="88" t="s">
        <v>175</v>
      </c>
      <c r="D109" s="16" t="s">
        <v>39</v>
      </c>
      <c r="E109" s="66"/>
      <c r="F109" s="66"/>
      <c r="G109" s="16"/>
      <c r="H109" s="60"/>
    </row>
    <row r="110" spans="2:8" x14ac:dyDescent="0.25">
      <c r="B110" s="48"/>
      <c r="C110" s="88" t="s">
        <v>176</v>
      </c>
      <c r="D110" s="16" t="s">
        <v>39</v>
      </c>
      <c r="E110" s="66"/>
      <c r="F110" s="66"/>
      <c r="G110" s="16"/>
      <c r="H110" s="60"/>
    </row>
    <row r="111" spans="2:8" x14ac:dyDescent="0.25">
      <c r="B111" s="48"/>
      <c r="C111" s="88" t="s">
        <v>178</v>
      </c>
      <c r="D111" s="16" t="s">
        <v>39</v>
      </c>
      <c r="E111" s="66"/>
      <c r="F111" s="66"/>
      <c r="G111" s="16"/>
      <c r="H111" s="60"/>
    </row>
    <row r="112" spans="2:8" ht="15.75" thickBot="1" x14ac:dyDescent="0.3">
      <c r="B112" s="49"/>
      <c r="C112" s="89" t="s">
        <v>179</v>
      </c>
      <c r="D112" s="17" t="s">
        <v>40</v>
      </c>
      <c r="E112" s="79">
        <v>18</v>
      </c>
      <c r="F112" s="79">
        <v>18</v>
      </c>
      <c r="G112" s="17"/>
      <c r="H112" s="73"/>
    </row>
    <row r="113" spans="2:8" x14ac:dyDescent="0.25">
      <c r="B113" s="50" t="s">
        <v>143</v>
      </c>
      <c r="C113" s="87" t="s">
        <v>140</v>
      </c>
      <c r="D113" s="15" t="s">
        <v>39</v>
      </c>
      <c r="E113" s="65"/>
      <c r="F113" s="65"/>
      <c r="G113" s="15"/>
      <c r="H113" s="58"/>
    </row>
    <row r="114" spans="2:8" ht="30" x14ac:dyDescent="0.25">
      <c r="B114" s="51"/>
      <c r="C114" s="88" t="s">
        <v>141</v>
      </c>
      <c r="D114" s="16" t="s">
        <v>57</v>
      </c>
      <c r="E114" s="66">
        <v>27</v>
      </c>
      <c r="F114" s="66">
        <v>25</v>
      </c>
      <c r="G114" s="16"/>
      <c r="H114" s="60"/>
    </row>
    <row r="115" spans="2:8" ht="30" x14ac:dyDescent="0.25">
      <c r="B115" s="51"/>
      <c r="C115" s="88" t="s">
        <v>142</v>
      </c>
      <c r="D115" s="16" t="s">
        <v>57</v>
      </c>
      <c r="E115" s="66">
        <v>20</v>
      </c>
      <c r="F115" s="66">
        <v>20</v>
      </c>
      <c r="G115" s="16"/>
      <c r="H115" s="60"/>
    </row>
    <row r="116" spans="2:8" x14ac:dyDescent="0.25">
      <c r="B116" s="51"/>
      <c r="C116" s="88" t="s">
        <v>143</v>
      </c>
      <c r="D116" s="16" t="s">
        <v>57</v>
      </c>
      <c r="E116" s="66">
        <v>2</v>
      </c>
      <c r="F116" s="66">
        <v>2</v>
      </c>
      <c r="G116" s="16"/>
      <c r="H116" s="60"/>
    </row>
    <row r="117" spans="2:8" x14ac:dyDescent="0.25">
      <c r="B117" s="51"/>
      <c r="C117" s="88" t="s">
        <v>143</v>
      </c>
      <c r="D117" s="16" t="s">
        <v>57</v>
      </c>
      <c r="E117" s="66"/>
      <c r="F117" s="66"/>
      <c r="G117" s="16"/>
      <c r="H117" s="60"/>
    </row>
    <row r="118" spans="2:8" x14ac:dyDescent="0.25">
      <c r="B118" s="51"/>
      <c r="C118" s="88" t="s">
        <v>143</v>
      </c>
      <c r="D118" s="16" t="s">
        <v>60</v>
      </c>
      <c r="E118" s="66"/>
      <c r="F118" s="66"/>
      <c r="G118" s="16"/>
      <c r="H118" s="60"/>
    </row>
    <row r="119" spans="2:8" x14ac:dyDescent="0.25">
      <c r="B119" s="51"/>
      <c r="C119" s="88" t="s">
        <v>144</v>
      </c>
      <c r="D119" s="16" t="s">
        <v>39</v>
      </c>
      <c r="E119" s="66"/>
      <c r="F119" s="66"/>
      <c r="G119" s="16"/>
      <c r="H119" s="60"/>
    </row>
    <row r="120" spans="2:8" x14ac:dyDescent="0.25">
      <c r="B120" s="51"/>
      <c r="C120" s="88" t="s">
        <v>145</v>
      </c>
      <c r="D120" s="16" t="s">
        <v>39</v>
      </c>
      <c r="E120" s="66"/>
      <c r="F120" s="66"/>
      <c r="G120" s="16"/>
      <c r="H120" s="60"/>
    </row>
    <row r="121" spans="2:8" x14ac:dyDescent="0.25">
      <c r="B121" s="51"/>
      <c r="C121" s="88" t="s">
        <v>143</v>
      </c>
      <c r="D121" s="16" t="s">
        <v>61</v>
      </c>
      <c r="E121" s="66"/>
      <c r="F121" s="66"/>
      <c r="G121" s="16"/>
      <c r="H121" s="60"/>
    </row>
    <row r="122" spans="2:8" x14ac:dyDescent="0.25">
      <c r="B122" s="51"/>
      <c r="C122" s="88" t="s">
        <v>143</v>
      </c>
      <c r="D122" s="16" t="s">
        <v>62</v>
      </c>
      <c r="E122" s="66"/>
      <c r="F122" s="66"/>
      <c r="G122" s="16"/>
      <c r="H122" s="60"/>
    </row>
    <row r="123" spans="2:8" ht="30" x14ac:dyDescent="0.25">
      <c r="B123" s="51"/>
      <c r="C123" s="88" t="s">
        <v>146</v>
      </c>
      <c r="D123" s="16" t="s">
        <v>57</v>
      </c>
      <c r="E123" s="66">
        <v>32</v>
      </c>
      <c r="F123" s="66">
        <v>32</v>
      </c>
      <c r="G123" s="16"/>
      <c r="H123" s="60"/>
    </row>
    <row r="124" spans="2:8" ht="30" x14ac:dyDescent="0.25">
      <c r="B124" s="51"/>
      <c r="C124" s="88" t="s">
        <v>147</v>
      </c>
      <c r="D124" s="16" t="s">
        <v>57</v>
      </c>
      <c r="E124" s="66">
        <v>26</v>
      </c>
      <c r="F124" s="66">
        <v>26</v>
      </c>
      <c r="G124" s="16"/>
      <c r="H124" s="60"/>
    </row>
    <row r="125" spans="2:8" x14ac:dyDescent="0.25">
      <c r="B125" s="51"/>
      <c r="C125" s="88" t="s">
        <v>143</v>
      </c>
      <c r="D125" s="16" t="s">
        <v>57</v>
      </c>
      <c r="E125" s="66"/>
      <c r="F125" s="66"/>
      <c r="G125" s="16"/>
      <c r="H125" s="60"/>
    </row>
    <row r="126" spans="2:8" x14ac:dyDescent="0.25">
      <c r="B126" s="51"/>
      <c r="C126" s="88" t="s">
        <v>143</v>
      </c>
      <c r="D126" s="16" t="s">
        <v>57</v>
      </c>
      <c r="E126" s="66"/>
      <c r="F126" s="66"/>
      <c r="G126" s="16"/>
      <c r="H126" s="60"/>
    </row>
    <row r="127" spans="2:8" x14ac:dyDescent="0.25">
      <c r="B127" s="51"/>
      <c r="C127" s="88" t="s">
        <v>148</v>
      </c>
      <c r="D127" s="16" t="s">
        <v>39</v>
      </c>
      <c r="E127" s="66"/>
      <c r="F127" s="66"/>
      <c r="G127" s="16"/>
      <c r="H127" s="60"/>
    </row>
    <row r="128" spans="2:8" x14ac:dyDescent="0.25">
      <c r="B128" s="51"/>
      <c r="C128" s="88" t="s">
        <v>143</v>
      </c>
      <c r="D128" s="16" t="s">
        <v>63</v>
      </c>
      <c r="E128" s="66"/>
      <c r="F128" s="66"/>
      <c r="G128" s="16"/>
      <c r="H128" s="60"/>
    </row>
    <row r="129" spans="2:8" x14ac:dyDescent="0.25">
      <c r="B129" s="51"/>
      <c r="C129" s="88" t="s">
        <v>143</v>
      </c>
      <c r="D129" s="16" t="s">
        <v>63</v>
      </c>
      <c r="E129" s="66"/>
      <c r="F129" s="66"/>
      <c r="G129" s="16"/>
      <c r="H129" s="60"/>
    </row>
    <row r="130" spans="2:8" x14ac:dyDescent="0.25">
      <c r="B130" s="51"/>
      <c r="C130" s="88" t="s">
        <v>143</v>
      </c>
      <c r="D130" s="16" t="s">
        <v>64</v>
      </c>
      <c r="E130" s="66"/>
      <c r="F130" s="66"/>
      <c r="G130" s="16"/>
      <c r="H130" s="60"/>
    </row>
    <row r="131" spans="2:8" x14ac:dyDescent="0.25">
      <c r="B131" s="51"/>
      <c r="C131" s="88" t="s">
        <v>143</v>
      </c>
      <c r="D131" s="16" t="s">
        <v>39</v>
      </c>
      <c r="E131" s="66"/>
      <c r="F131" s="66"/>
      <c r="G131" s="16"/>
      <c r="H131" s="60"/>
    </row>
    <row r="132" spans="2:8" x14ac:dyDescent="0.25">
      <c r="B132" s="51"/>
      <c r="C132" s="88" t="s">
        <v>143</v>
      </c>
      <c r="D132" s="16" t="s">
        <v>39</v>
      </c>
      <c r="E132" s="66"/>
      <c r="F132" s="66"/>
      <c r="G132" s="16"/>
      <c r="H132" s="60"/>
    </row>
    <row r="133" spans="2:8" x14ac:dyDescent="0.25">
      <c r="B133" s="51"/>
      <c r="C133" s="88" t="s">
        <v>149</v>
      </c>
      <c r="D133" s="16" t="s">
        <v>57</v>
      </c>
      <c r="E133" s="66">
        <v>27</v>
      </c>
      <c r="F133" s="66">
        <v>27</v>
      </c>
      <c r="G133" s="16"/>
      <c r="H133" s="60"/>
    </row>
    <row r="134" spans="2:8" x14ac:dyDescent="0.25">
      <c r="B134" s="51"/>
      <c r="C134" s="88" t="s">
        <v>143</v>
      </c>
      <c r="D134" s="16" t="s">
        <v>39</v>
      </c>
      <c r="E134" s="66"/>
      <c r="F134" s="66"/>
      <c r="G134" s="16"/>
      <c r="H134" s="60"/>
    </row>
    <row r="135" spans="2:8" ht="15.75" thickBot="1" x14ac:dyDescent="0.3">
      <c r="B135" s="52"/>
      <c r="C135" s="89" t="s">
        <v>143</v>
      </c>
      <c r="D135" s="17" t="s">
        <v>39</v>
      </c>
      <c r="E135" s="79"/>
      <c r="F135" s="79"/>
      <c r="G135" s="17"/>
      <c r="H135" s="73"/>
    </row>
    <row r="136" spans="2:8" ht="30" customHeight="1" x14ac:dyDescent="0.25">
      <c r="B136" s="50" t="s">
        <v>191</v>
      </c>
      <c r="C136" s="87" t="s">
        <v>128</v>
      </c>
      <c r="D136" s="15" t="s">
        <v>56</v>
      </c>
      <c r="E136" s="65">
        <v>200</v>
      </c>
      <c r="F136" s="65">
        <v>200</v>
      </c>
      <c r="G136" s="15"/>
      <c r="H136" s="58"/>
    </row>
    <row r="137" spans="2:8" x14ac:dyDescent="0.25">
      <c r="B137" s="51"/>
      <c r="C137" s="88" t="s">
        <v>129</v>
      </c>
      <c r="D137" s="16" t="s">
        <v>57</v>
      </c>
      <c r="E137" s="66">
        <v>5</v>
      </c>
      <c r="F137" s="66">
        <v>5</v>
      </c>
      <c r="G137" s="16"/>
      <c r="H137" s="60"/>
    </row>
    <row r="138" spans="2:8" x14ac:dyDescent="0.25">
      <c r="B138" s="51"/>
      <c r="C138" s="88" t="s">
        <v>130</v>
      </c>
      <c r="D138" s="16" t="s">
        <v>57</v>
      </c>
      <c r="E138" s="66">
        <v>120</v>
      </c>
      <c r="F138" s="66">
        <v>120</v>
      </c>
      <c r="G138" s="16"/>
      <c r="H138" s="60"/>
    </row>
    <row r="139" spans="2:8" x14ac:dyDescent="0.25">
      <c r="B139" s="51"/>
      <c r="C139" s="88" t="s">
        <v>131</v>
      </c>
      <c r="D139" s="16" t="s">
        <v>58</v>
      </c>
      <c r="E139" s="66">
        <v>80</v>
      </c>
      <c r="F139" s="66">
        <v>80</v>
      </c>
      <c r="G139" s="16"/>
      <c r="H139" s="60"/>
    </row>
    <row r="140" spans="2:8" x14ac:dyDescent="0.25">
      <c r="B140" s="51"/>
      <c r="C140" s="88" t="s">
        <v>132</v>
      </c>
      <c r="D140" s="16" t="s">
        <v>57</v>
      </c>
      <c r="E140" s="66">
        <v>10</v>
      </c>
      <c r="F140" s="66">
        <v>10</v>
      </c>
      <c r="G140" s="16"/>
      <c r="H140" s="60"/>
    </row>
    <row r="141" spans="2:8" x14ac:dyDescent="0.25">
      <c r="B141" s="51"/>
      <c r="C141" s="88" t="s">
        <v>133</v>
      </c>
      <c r="D141" s="16" t="s">
        <v>57</v>
      </c>
      <c r="E141" s="66">
        <v>20</v>
      </c>
      <c r="F141" s="66">
        <v>20</v>
      </c>
      <c r="G141" s="16"/>
      <c r="H141" s="60"/>
    </row>
    <row r="142" spans="2:8" x14ac:dyDescent="0.25">
      <c r="B142" s="51"/>
      <c r="C142" s="88" t="s">
        <v>134</v>
      </c>
      <c r="D142" s="16" t="s">
        <v>57</v>
      </c>
      <c r="E142" s="66">
        <v>170</v>
      </c>
      <c r="F142" s="66">
        <v>170</v>
      </c>
      <c r="G142" s="16"/>
      <c r="H142" s="60"/>
    </row>
    <row r="143" spans="2:8" ht="15.75" thickBot="1" x14ac:dyDescent="0.3">
      <c r="B143" s="52"/>
      <c r="C143" s="89" t="s">
        <v>135</v>
      </c>
      <c r="D143" s="17" t="s">
        <v>57</v>
      </c>
      <c r="E143" s="79">
        <v>140</v>
      </c>
      <c r="F143" s="79">
        <v>140</v>
      </c>
      <c r="G143" s="17"/>
      <c r="H143" s="73"/>
    </row>
    <row r="144" spans="2:8" ht="30" customHeight="1" x14ac:dyDescent="0.25">
      <c r="B144" s="50" t="s">
        <v>192</v>
      </c>
      <c r="C144" s="87" t="s">
        <v>150</v>
      </c>
      <c r="D144" s="15" t="s">
        <v>39</v>
      </c>
      <c r="E144" s="65"/>
      <c r="F144" s="56"/>
      <c r="G144" s="15"/>
      <c r="H144" s="58"/>
    </row>
    <row r="145" spans="2:8" x14ac:dyDescent="0.25">
      <c r="B145" s="51"/>
      <c r="C145" s="88" t="s">
        <v>151</v>
      </c>
      <c r="D145" s="16" t="s">
        <v>39</v>
      </c>
      <c r="E145" s="66"/>
      <c r="F145" s="53"/>
      <c r="G145" s="16"/>
      <c r="H145" s="60"/>
    </row>
    <row r="146" spans="2:8" x14ac:dyDescent="0.25">
      <c r="B146" s="51"/>
      <c r="C146" s="88" t="s">
        <v>152</v>
      </c>
      <c r="D146" s="16" t="s">
        <v>57</v>
      </c>
      <c r="E146" s="66">
        <v>20</v>
      </c>
      <c r="F146" s="53">
        <v>20</v>
      </c>
      <c r="G146" s="16">
        <v>20</v>
      </c>
      <c r="H146" s="60"/>
    </row>
    <row r="147" spans="2:8" x14ac:dyDescent="0.25">
      <c r="B147" s="51"/>
      <c r="C147" s="88" t="s">
        <v>153</v>
      </c>
      <c r="D147" s="16" t="s">
        <v>57</v>
      </c>
      <c r="E147" s="66">
        <v>6</v>
      </c>
      <c r="F147" s="53">
        <v>6</v>
      </c>
      <c r="G147" s="16">
        <v>6</v>
      </c>
      <c r="H147" s="60"/>
    </row>
    <row r="148" spans="2:8" x14ac:dyDescent="0.25">
      <c r="B148" s="51"/>
      <c r="C148" s="88" t="s">
        <v>154</v>
      </c>
      <c r="D148" s="16" t="s">
        <v>57</v>
      </c>
      <c r="E148" s="66">
        <v>0.3</v>
      </c>
      <c r="F148" s="53">
        <v>1</v>
      </c>
      <c r="G148" s="16">
        <v>1</v>
      </c>
      <c r="H148" s="60"/>
    </row>
    <row r="149" spans="2:8" x14ac:dyDescent="0.25">
      <c r="B149" s="51"/>
      <c r="C149" s="88" t="s">
        <v>155</v>
      </c>
      <c r="D149" s="16" t="s">
        <v>57</v>
      </c>
      <c r="E149" s="66">
        <v>1</v>
      </c>
      <c r="F149" s="53"/>
      <c r="G149" s="16"/>
      <c r="H149" s="60"/>
    </row>
    <row r="150" spans="2:8" x14ac:dyDescent="0.25">
      <c r="B150" s="51"/>
      <c r="C150" s="88" t="s">
        <v>156</v>
      </c>
      <c r="D150" s="16" t="s">
        <v>60</v>
      </c>
      <c r="E150" s="66">
        <v>6</v>
      </c>
      <c r="F150" s="53">
        <v>6</v>
      </c>
      <c r="G150" s="16">
        <v>6</v>
      </c>
      <c r="H150" s="60"/>
    </row>
    <row r="151" spans="2:8" x14ac:dyDescent="0.25">
      <c r="B151" s="51"/>
      <c r="C151" s="88" t="s">
        <v>157</v>
      </c>
      <c r="D151" s="16" t="s">
        <v>39</v>
      </c>
      <c r="E151" s="66"/>
      <c r="F151" s="53"/>
      <c r="G151" s="16"/>
      <c r="H151" s="60"/>
    </row>
    <row r="152" spans="2:8" x14ac:dyDescent="0.25">
      <c r="B152" s="51"/>
      <c r="C152" s="88" t="s">
        <v>158</v>
      </c>
      <c r="D152" s="16" t="s">
        <v>39</v>
      </c>
      <c r="E152" s="66"/>
      <c r="F152" s="53"/>
      <c r="G152" s="16"/>
      <c r="H152" s="60"/>
    </row>
    <row r="153" spans="2:8" x14ac:dyDescent="0.25">
      <c r="B153" s="51"/>
      <c r="C153" s="88" t="s">
        <v>159</v>
      </c>
      <c r="D153" s="16" t="s">
        <v>61</v>
      </c>
      <c r="E153" s="66"/>
      <c r="F153" s="53"/>
      <c r="G153" s="16"/>
      <c r="H153" s="60"/>
    </row>
    <row r="154" spans="2:8" x14ac:dyDescent="0.25">
      <c r="B154" s="51"/>
      <c r="C154" s="88" t="s">
        <v>160</v>
      </c>
      <c r="D154" s="16" t="s">
        <v>62</v>
      </c>
      <c r="E154" s="80"/>
      <c r="F154" s="66"/>
      <c r="G154" s="16"/>
      <c r="H154" s="60"/>
    </row>
    <row r="155" spans="2:8" x14ac:dyDescent="0.25">
      <c r="B155" s="51"/>
      <c r="C155" s="88" t="s">
        <v>161</v>
      </c>
      <c r="D155" s="16" t="s">
        <v>57</v>
      </c>
      <c r="E155" s="66">
        <v>20</v>
      </c>
      <c r="F155" s="53">
        <v>25</v>
      </c>
      <c r="G155" s="16"/>
      <c r="H155" s="60"/>
    </row>
    <row r="156" spans="2:8" x14ac:dyDescent="0.25">
      <c r="B156" s="51"/>
      <c r="C156" s="88" t="s">
        <v>162</v>
      </c>
      <c r="D156" s="16" t="s">
        <v>57</v>
      </c>
      <c r="E156" s="66">
        <v>8</v>
      </c>
      <c r="F156" s="53">
        <v>15</v>
      </c>
      <c r="G156" s="16"/>
      <c r="H156" s="60"/>
    </row>
    <row r="157" spans="2:8" x14ac:dyDescent="0.25">
      <c r="B157" s="51"/>
      <c r="C157" s="88" t="s">
        <v>163</v>
      </c>
      <c r="D157" s="16" t="s">
        <v>57</v>
      </c>
      <c r="E157" s="66">
        <v>8</v>
      </c>
      <c r="F157" s="53">
        <v>8</v>
      </c>
      <c r="G157" s="16"/>
      <c r="H157" s="60"/>
    </row>
    <row r="158" spans="2:8" x14ac:dyDescent="0.25">
      <c r="B158" s="51"/>
      <c r="C158" s="88" t="s">
        <v>164</v>
      </c>
      <c r="D158" s="16" t="s">
        <v>57</v>
      </c>
      <c r="E158" s="66">
        <v>60</v>
      </c>
      <c r="F158" s="53">
        <v>100</v>
      </c>
      <c r="G158" s="16"/>
      <c r="H158" s="60"/>
    </row>
    <row r="159" spans="2:8" x14ac:dyDescent="0.25">
      <c r="B159" s="51"/>
      <c r="C159" s="88" t="s">
        <v>165</v>
      </c>
      <c r="D159" s="16" t="s">
        <v>39</v>
      </c>
      <c r="E159" s="66"/>
      <c r="F159" s="53"/>
      <c r="G159" s="16"/>
      <c r="H159" s="60"/>
    </row>
    <row r="160" spans="2:8" x14ac:dyDescent="0.25">
      <c r="B160" s="51"/>
      <c r="C160" s="88" t="s">
        <v>166</v>
      </c>
      <c r="D160" s="16" t="s">
        <v>63</v>
      </c>
      <c r="E160" s="66"/>
      <c r="F160" s="53"/>
      <c r="G160" s="16"/>
      <c r="H160" s="60"/>
    </row>
    <row r="161" spans="2:8" ht="30" x14ac:dyDescent="0.25">
      <c r="B161" s="51"/>
      <c r="C161" s="88" t="s">
        <v>168</v>
      </c>
      <c r="D161" s="16" t="s">
        <v>63</v>
      </c>
      <c r="E161" s="66"/>
      <c r="F161" s="53"/>
      <c r="G161" s="16"/>
      <c r="H161" s="60"/>
    </row>
    <row r="162" spans="2:8" ht="30" x14ac:dyDescent="0.25">
      <c r="B162" s="51"/>
      <c r="C162" s="88" t="s">
        <v>169</v>
      </c>
      <c r="D162" s="16" t="s">
        <v>64</v>
      </c>
      <c r="E162" s="66"/>
      <c r="F162" s="53"/>
      <c r="G162" s="16"/>
      <c r="H162" s="60"/>
    </row>
    <row r="163" spans="2:8" ht="30" x14ac:dyDescent="0.25">
      <c r="B163" s="51"/>
      <c r="C163" s="88" t="s">
        <v>170</v>
      </c>
      <c r="D163" s="16" t="s">
        <v>39</v>
      </c>
      <c r="E163" s="66"/>
      <c r="F163" s="66">
        <v>2</v>
      </c>
      <c r="G163" s="16"/>
      <c r="H163" s="60"/>
    </row>
    <row r="164" spans="2:8" x14ac:dyDescent="0.25">
      <c r="B164" s="51"/>
      <c r="C164" s="88" t="s">
        <v>171</v>
      </c>
      <c r="D164" s="16" t="s">
        <v>39</v>
      </c>
      <c r="E164" s="66"/>
      <c r="F164" s="66">
        <v>3</v>
      </c>
      <c r="G164" s="16"/>
      <c r="H164" s="60"/>
    </row>
    <row r="165" spans="2:8" x14ac:dyDescent="0.25">
      <c r="B165" s="51"/>
      <c r="C165" s="88" t="s">
        <v>172</v>
      </c>
      <c r="D165" s="16" t="s">
        <v>57</v>
      </c>
      <c r="E165" s="66"/>
      <c r="F165" s="66">
        <v>32</v>
      </c>
      <c r="G165" s="16"/>
      <c r="H165" s="60"/>
    </row>
    <row r="166" spans="2:8" x14ac:dyDescent="0.25">
      <c r="B166" s="51"/>
      <c r="C166" s="88" t="s">
        <v>173</v>
      </c>
      <c r="D166" s="16" t="s">
        <v>39</v>
      </c>
      <c r="E166" s="66"/>
      <c r="F166" s="66">
        <v>4</v>
      </c>
      <c r="G166" s="16"/>
      <c r="H166" s="60"/>
    </row>
    <row r="167" spans="2:8" x14ac:dyDescent="0.25">
      <c r="B167" s="51"/>
      <c r="C167" s="88" t="s">
        <v>174</v>
      </c>
      <c r="D167" s="16"/>
      <c r="E167" s="66"/>
      <c r="F167" s="66">
        <v>6</v>
      </c>
      <c r="G167" s="16"/>
      <c r="H167" s="60"/>
    </row>
    <row r="168" spans="2:8" ht="15.75" thickBot="1" x14ac:dyDescent="0.3">
      <c r="B168" s="52"/>
      <c r="C168" s="89" t="s">
        <v>177</v>
      </c>
      <c r="D168" s="17" t="s">
        <v>39</v>
      </c>
      <c r="E168" s="79"/>
      <c r="F168" s="79"/>
      <c r="G168" s="17"/>
      <c r="H168" s="73"/>
    </row>
    <row r="1047584" spans="7:7" x14ac:dyDescent="0.25">
      <c r="G1047584" s="2"/>
    </row>
    <row r="1047585" spans="7:7" x14ac:dyDescent="0.25">
      <c r="G1047585" s="2"/>
    </row>
    <row r="1047586" spans="7:7" x14ac:dyDescent="0.25">
      <c r="G1047586" s="2"/>
    </row>
    <row r="1047587" spans="7:7" x14ac:dyDescent="0.25">
      <c r="G1047587" s="2"/>
    </row>
    <row r="1047588" spans="7:7" x14ac:dyDescent="0.25">
      <c r="G1047588" s="2"/>
    </row>
    <row r="1047589" spans="7:7" x14ac:dyDescent="0.25">
      <c r="G1047589" s="2"/>
    </row>
    <row r="1047590" spans="7:7" x14ac:dyDescent="0.25">
      <c r="G1047590" s="2"/>
    </row>
    <row r="1047591" spans="7:7" x14ac:dyDescent="0.25">
      <c r="G1047591" s="2"/>
    </row>
    <row r="1047592" spans="7:7" x14ac:dyDescent="0.25">
      <c r="G1047592" s="2"/>
    </row>
    <row r="1047593" spans="7:7" x14ac:dyDescent="0.25">
      <c r="G1047593" s="2"/>
    </row>
    <row r="1047594" spans="7:7" x14ac:dyDescent="0.25">
      <c r="G1047594" s="2"/>
    </row>
    <row r="1047595" spans="7:7" x14ac:dyDescent="0.25">
      <c r="G1047595" s="2"/>
    </row>
    <row r="1047596" spans="7:7" x14ac:dyDescent="0.25">
      <c r="G1047596" s="2"/>
    </row>
    <row r="1047597" spans="7:7" x14ac:dyDescent="0.25">
      <c r="G1047597" s="2"/>
    </row>
    <row r="1047598" spans="7:7" x14ac:dyDescent="0.25">
      <c r="G1047598" s="2"/>
    </row>
    <row r="1047599" spans="7:7" x14ac:dyDescent="0.25">
      <c r="G1047599" s="2"/>
    </row>
    <row r="1047600" spans="7:7" x14ac:dyDescent="0.25">
      <c r="G1047600" s="2"/>
    </row>
    <row r="1047601" spans="7:7" x14ac:dyDescent="0.25">
      <c r="G1047601" s="2"/>
    </row>
    <row r="1047602" spans="7:7" x14ac:dyDescent="0.25">
      <c r="G1047602" s="2"/>
    </row>
    <row r="1047603" spans="7:7" x14ac:dyDescent="0.25">
      <c r="G1047603" s="2"/>
    </row>
    <row r="1047604" spans="7:7" x14ac:dyDescent="0.25">
      <c r="G1047604" s="2"/>
    </row>
    <row r="1047605" spans="7:7" x14ac:dyDescent="0.25">
      <c r="G1047605" s="2"/>
    </row>
    <row r="1047606" spans="7:7" x14ac:dyDescent="0.25">
      <c r="G1047606" s="2"/>
    </row>
    <row r="1047607" spans="7:7" x14ac:dyDescent="0.25">
      <c r="G1047607" s="2"/>
    </row>
    <row r="1047608" spans="7:7" x14ac:dyDescent="0.25">
      <c r="G1047608" s="2"/>
    </row>
    <row r="1047609" spans="7:7" x14ac:dyDescent="0.25">
      <c r="G1047609" s="2"/>
    </row>
    <row r="1047610" spans="7:7" x14ac:dyDescent="0.25">
      <c r="G1047610" s="2"/>
    </row>
    <row r="1047611" spans="7:7" x14ac:dyDescent="0.25">
      <c r="G1047611" s="2"/>
    </row>
    <row r="1047612" spans="7:7" x14ac:dyDescent="0.25">
      <c r="G1047612" s="2"/>
    </row>
    <row r="1047613" spans="7:7" x14ac:dyDescent="0.25">
      <c r="G1047613" s="2"/>
    </row>
    <row r="1047614" spans="7:7" x14ac:dyDescent="0.25">
      <c r="G1047614" s="2"/>
    </row>
    <row r="1047615" spans="7:7" x14ac:dyDescent="0.25">
      <c r="G1047615" s="2"/>
    </row>
    <row r="1047616" spans="7:7" x14ac:dyDescent="0.25">
      <c r="G1047616" s="2"/>
    </row>
    <row r="1047617" spans="7:7" x14ac:dyDescent="0.25">
      <c r="G1047617" s="2"/>
    </row>
    <row r="1047618" spans="7:7" x14ac:dyDescent="0.25">
      <c r="G1047618" s="2"/>
    </row>
    <row r="1047619" spans="7:7" x14ac:dyDescent="0.25">
      <c r="G1047619" s="2"/>
    </row>
    <row r="1047620" spans="7:7" x14ac:dyDescent="0.25">
      <c r="G1047620" s="2"/>
    </row>
    <row r="1047621" spans="7:7" x14ac:dyDescent="0.25">
      <c r="G1047621" s="2"/>
    </row>
    <row r="1047622" spans="7:7" x14ac:dyDescent="0.25">
      <c r="G1047622" s="2"/>
    </row>
    <row r="1047623" spans="7:7" x14ac:dyDescent="0.25">
      <c r="G1047623" s="2"/>
    </row>
    <row r="1047624" spans="7:7" x14ac:dyDescent="0.25">
      <c r="G1047624" s="2"/>
    </row>
    <row r="1047625" spans="7:7" x14ac:dyDescent="0.25">
      <c r="G1047625" s="2"/>
    </row>
    <row r="1047626" spans="7:7" x14ac:dyDescent="0.25">
      <c r="G1047626" s="2"/>
    </row>
    <row r="1047627" spans="7:7" x14ac:dyDescent="0.25">
      <c r="G1047627" s="2"/>
    </row>
    <row r="1047628" spans="7:7" x14ac:dyDescent="0.25">
      <c r="G1047628" s="2"/>
    </row>
    <row r="1047629" spans="7:7" x14ac:dyDescent="0.25">
      <c r="G1047629" s="2"/>
    </row>
    <row r="1047630" spans="7:7" x14ac:dyDescent="0.25">
      <c r="G1047630" s="2"/>
    </row>
    <row r="1047631" spans="7:7" x14ac:dyDescent="0.25">
      <c r="G1047631" s="2"/>
    </row>
    <row r="1047632" spans="7:7" x14ac:dyDescent="0.25">
      <c r="G1047632" s="2"/>
    </row>
    <row r="1047633" spans="7:7" x14ac:dyDescent="0.25">
      <c r="G1047633" s="2"/>
    </row>
    <row r="1047634" spans="7:7" x14ac:dyDescent="0.25">
      <c r="G1047634" s="2"/>
    </row>
    <row r="1047635" spans="7:7" x14ac:dyDescent="0.25">
      <c r="G1047635" s="2"/>
    </row>
    <row r="1047636" spans="7:7" x14ac:dyDescent="0.25">
      <c r="G1047636" s="2"/>
    </row>
    <row r="1047637" spans="7:7" x14ac:dyDescent="0.25">
      <c r="G1047637" s="2"/>
    </row>
    <row r="1047638" spans="7:7" x14ac:dyDescent="0.25">
      <c r="G1047638" s="2"/>
    </row>
    <row r="1047639" spans="7:7" x14ac:dyDescent="0.25">
      <c r="G1047639" s="2"/>
    </row>
    <row r="1047640" spans="7:7" x14ac:dyDescent="0.25">
      <c r="G1047640" s="2"/>
    </row>
    <row r="1047641" spans="7:7" x14ac:dyDescent="0.25">
      <c r="G1047641" s="2"/>
    </row>
    <row r="1047642" spans="7:7" x14ac:dyDescent="0.25">
      <c r="G1047642" s="2"/>
    </row>
    <row r="1047643" spans="7:7" x14ac:dyDescent="0.25">
      <c r="G1047643" s="2"/>
    </row>
    <row r="1047644" spans="7:7" x14ac:dyDescent="0.25">
      <c r="G1047644" s="2"/>
    </row>
    <row r="1047645" spans="7:7" x14ac:dyDescent="0.25">
      <c r="G1047645" s="2"/>
    </row>
    <row r="1047646" spans="7:7" x14ac:dyDescent="0.25">
      <c r="G1047646" s="2"/>
    </row>
    <row r="1047647" spans="7:7" x14ac:dyDescent="0.25">
      <c r="G1047647" s="2"/>
    </row>
    <row r="1047648" spans="7:7" x14ac:dyDescent="0.25">
      <c r="G1047648" s="2"/>
    </row>
    <row r="1047649" spans="7:7" x14ac:dyDescent="0.25">
      <c r="G1047649" s="2"/>
    </row>
    <row r="1047650" spans="7:7" x14ac:dyDescent="0.25">
      <c r="G1047650" s="2"/>
    </row>
    <row r="1047651" spans="7:7" x14ac:dyDescent="0.25">
      <c r="G1047651" s="2"/>
    </row>
    <row r="1047652" spans="7:7" x14ac:dyDescent="0.25">
      <c r="G1047652" s="2"/>
    </row>
    <row r="1047653" spans="7:7" x14ac:dyDescent="0.25">
      <c r="G1047653" s="2"/>
    </row>
    <row r="1047654" spans="7:7" x14ac:dyDescent="0.25">
      <c r="G1047654" s="2"/>
    </row>
    <row r="1047655" spans="7:7" x14ac:dyDescent="0.25">
      <c r="G1047655" s="2"/>
    </row>
    <row r="1047656" spans="7:7" x14ac:dyDescent="0.25">
      <c r="G1047656" s="2"/>
    </row>
    <row r="1047657" spans="7:7" x14ac:dyDescent="0.25">
      <c r="G1047657" s="2"/>
    </row>
    <row r="1047658" spans="7:7" x14ac:dyDescent="0.25">
      <c r="G1047658" s="2"/>
    </row>
    <row r="1047659" spans="7:7" x14ac:dyDescent="0.25">
      <c r="G1047659" s="2"/>
    </row>
    <row r="1047660" spans="7:7" x14ac:dyDescent="0.25">
      <c r="G1047660" s="2"/>
    </row>
    <row r="1047661" spans="7:7" x14ac:dyDescent="0.25">
      <c r="G1047661" s="2"/>
    </row>
    <row r="1047662" spans="7:7" x14ac:dyDescent="0.25">
      <c r="G1047662" s="2"/>
    </row>
    <row r="1047663" spans="7:7" x14ac:dyDescent="0.25">
      <c r="G1047663" s="2"/>
    </row>
    <row r="1047664" spans="7:7" x14ac:dyDescent="0.25">
      <c r="G1047664" s="2"/>
    </row>
    <row r="1047665" spans="7:7" x14ac:dyDescent="0.25">
      <c r="G1047665" s="2"/>
    </row>
    <row r="1047666" spans="7:7" x14ac:dyDescent="0.25">
      <c r="G1047666" s="2"/>
    </row>
    <row r="1047667" spans="7:7" x14ac:dyDescent="0.25">
      <c r="G1047667" s="2"/>
    </row>
    <row r="1047668" spans="7:7" x14ac:dyDescent="0.25">
      <c r="G1047668" s="2"/>
    </row>
    <row r="1047669" spans="7:7" x14ac:dyDescent="0.25">
      <c r="G1047669" s="2"/>
    </row>
    <row r="1047670" spans="7:7" x14ac:dyDescent="0.25">
      <c r="G1047670" s="2"/>
    </row>
    <row r="1047671" spans="7:7" x14ac:dyDescent="0.25">
      <c r="G1047671" s="2"/>
    </row>
    <row r="1047672" spans="7:7" x14ac:dyDescent="0.25">
      <c r="G1047672" s="2"/>
    </row>
    <row r="1047673" spans="7:7" x14ac:dyDescent="0.25">
      <c r="G1047673" s="2"/>
    </row>
    <row r="1047674" spans="7:7" x14ac:dyDescent="0.25">
      <c r="G1047674" s="2"/>
    </row>
    <row r="1047675" spans="7:7" x14ac:dyDescent="0.25">
      <c r="G1047675" s="2"/>
    </row>
    <row r="1047676" spans="7:7" x14ac:dyDescent="0.25">
      <c r="G1047676" s="2"/>
    </row>
    <row r="1047677" spans="7:7" x14ac:dyDescent="0.25">
      <c r="G1047677" s="2"/>
    </row>
    <row r="1047678" spans="7:7" x14ac:dyDescent="0.25">
      <c r="G1047678" s="2"/>
    </row>
    <row r="1047679" spans="7:7" x14ac:dyDescent="0.25">
      <c r="G1047679" s="2"/>
    </row>
    <row r="1047680" spans="7:7" x14ac:dyDescent="0.25">
      <c r="G1047680" s="2"/>
    </row>
    <row r="1047681" spans="7:7" x14ac:dyDescent="0.25">
      <c r="G1047681" s="2"/>
    </row>
    <row r="1047682" spans="7:7" x14ac:dyDescent="0.25">
      <c r="G1047682" s="2"/>
    </row>
    <row r="1047683" spans="7:7" x14ac:dyDescent="0.25">
      <c r="G1047683" s="2"/>
    </row>
    <row r="1047684" spans="7:7" x14ac:dyDescent="0.25">
      <c r="G1047684" s="2"/>
    </row>
    <row r="1047685" spans="7:7" x14ac:dyDescent="0.25">
      <c r="G1047685" s="2"/>
    </row>
    <row r="1047686" spans="7:7" x14ac:dyDescent="0.25">
      <c r="G1047686" s="2"/>
    </row>
    <row r="1047687" spans="7:7" x14ac:dyDescent="0.25">
      <c r="G1047687" s="2"/>
    </row>
    <row r="1047688" spans="7:7" x14ac:dyDescent="0.25">
      <c r="G1047688" s="2"/>
    </row>
    <row r="1047689" spans="7:7" x14ac:dyDescent="0.25">
      <c r="G1047689" s="2"/>
    </row>
    <row r="1047690" spans="7:7" x14ac:dyDescent="0.25">
      <c r="G1047690" s="2"/>
    </row>
    <row r="1047691" spans="7:7" x14ac:dyDescent="0.25">
      <c r="G1047691" s="2"/>
    </row>
    <row r="1047692" spans="7:7" x14ac:dyDescent="0.25">
      <c r="G1047692" s="2"/>
    </row>
    <row r="1047693" spans="7:7" x14ac:dyDescent="0.25">
      <c r="G1047693" s="2"/>
    </row>
    <row r="1047694" spans="7:7" x14ac:dyDescent="0.25">
      <c r="G1047694" s="2"/>
    </row>
    <row r="1047695" spans="7:7" x14ac:dyDescent="0.25">
      <c r="G1047695" s="2"/>
    </row>
    <row r="1047696" spans="7:7" x14ac:dyDescent="0.25">
      <c r="G1047696" s="2"/>
    </row>
    <row r="1047697" spans="7:7" x14ac:dyDescent="0.25">
      <c r="G1047697" s="2"/>
    </row>
    <row r="1047698" spans="7:7" x14ac:dyDescent="0.25">
      <c r="G1047698" s="2"/>
    </row>
    <row r="1047699" spans="7:7" x14ac:dyDescent="0.25">
      <c r="G1047699" s="2"/>
    </row>
    <row r="1047700" spans="7:7" x14ac:dyDescent="0.25">
      <c r="G1047700" s="2"/>
    </row>
    <row r="1047701" spans="7:7" x14ac:dyDescent="0.25">
      <c r="G1047701" s="2"/>
    </row>
    <row r="1047702" spans="7:7" x14ac:dyDescent="0.25">
      <c r="G1047702" s="2"/>
    </row>
    <row r="1047703" spans="7:7" x14ac:dyDescent="0.25">
      <c r="G1047703" s="2"/>
    </row>
    <row r="1047704" spans="7:7" x14ac:dyDescent="0.25">
      <c r="G1047704" s="2"/>
    </row>
    <row r="1047705" spans="7:7" x14ac:dyDescent="0.25">
      <c r="G1047705" s="2"/>
    </row>
    <row r="1047706" spans="7:7" x14ac:dyDescent="0.25">
      <c r="G1047706" s="2"/>
    </row>
    <row r="1047707" spans="7:7" x14ac:dyDescent="0.25">
      <c r="G1047707" s="2"/>
    </row>
    <row r="1047708" spans="7:7" x14ac:dyDescent="0.25">
      <c r="G1047708" s="2"/>
    </row>
    <row r="1047709" spans="7:7" x14ac:dyDescent="0.25">
      <c r="G1047709" s="2"/>
    </row>
    <row r="1047710" spans="7:7" x14ac:dyDescent="0.25">
      <c r="G1047710" s="2"/>
    </row>
    <row r="1047711" spans="7:7" x14ac:dyDescent="0.25">
      <c r="G1047711" s="2"/>
    </row>
    <row r="1047712" spans="7:7" x14ac:dyDescent="0.25">
      <c r="G1047712" s="2"/>
    </row>
    <row r="1047713" spans="7:7" x14ac:dyDescent="0.25">
      <c r="G1047713" s="2"/>
    </row>
    <row r="1047714" spans="7:7" x14ac:dyDescent="0.25">
      <c r="G1047714" s="2"/>
    </row>
    <row r="1047715" spans="7:7" x14ac:dyDescent="0.25">
      <c r="G1047715" s="2"/>
    </row>
    <row r="1047716" spans="7:7" x14ac:dyDescent="0.25">
      <c r="G1047716" s="2"/>
    </row>
    <row r="1047717" spans="7:7" x14ac:dyDescent="0.25">
      <c r="G1047717" s="2"/>
    </row>
    <row r="1047718" spans="7:7" x14ac:dyDescent="0.25">
      <c r="G1047718" s="2"/>
    </row>
    <row r="1047719" spans="7:7" x14ac:dyDescent="0.25">
      <c r="G1047719" s="2"/>
    </row>
    <row r="1047720" spans="7:7" x14ac:dyDescent="0.25">
      <c r="G1047720" s="2"/>
    </row>
    <row r="1047721" spans="7:7" x14ac:dyDescent="0.25">
      <c r="G1047721" s="2"/>
    </row>
    <row r="1047722" spans="7:7" x14ac:dyDescent="0.25">
      <c r="G1047722" s="2"/>
    </row>
    <row r="1047723" spans="7:7" x14ac:dyDescent="0.25">
      <c r="G1047723" s="2"/>
    </row>
    <row r="1047724" spans="7:7" x14ac:dyDescent="0.25">
      <c r="G1047724" s="2"/>
    </row>
    <row r="1047725" spans="7:7" x14ac:dyDescent="0.25">
      <c r="G1047725" s="2"/>
    </row>
    <row r="1047726" spans="7:7" x14ac:dyDescent="0.25">
      <c r="G1047726" s="2"/>
    </row>
    <row r="1047727" spans="7:7" x14ac:dyDescent="0.25">
      <c r="G1047727" s="2"/>
    </row>
    <row r="1047728" spans="7:7" x14ac:dyDescent="0.25">
      <c r="G1047728" s="2"/>
    </row>
    <row r="1047729" spans="7:7" x14ac:dyDescent="0.25">
      <c r="G1047729" s="2"/>
    </row>
    <row r="1047730" spans="7:7" x14ac:dyDescent="0.25">
      <c r="G1047730" s="2"/>
    </row>
    <row r="1047731" spans="7:7" x14ac:dyDescent="0.25">
      <c r="G1047731" s="2"/>
    </row>
    <row r="1047732" spans="7:7" x14ac:dyDescent="0.25">
      <c r="G1047732" s="2"/>
    </row>
    <row r="1047733" spans="7:7" x14ac:dyDescent="0.25">
      <c r="G1047733" s="2"/>
    </row>
    <row r="1047734" spans="7:7" x14ac:dyDescent="0.25">
      <c r="G1047734" s="2"/>
    </row>
    <row r="1047735" spans="7:7" x14ac:dyDescent="0.25">
      <c r="G1047735" s="2"/>
    </row>
    <row r="1047736" spans="7:7" x14ac:dyDescent="0.25">
      <c r="G1047736" s="2"/>
    </row>
    <row r="1047737" spans="7:7" x14ac:dyDescent="0.25">
      <c r="G1047737" s="2"/>
    </row>
    <row r="1047738" spans="7:7" x14ac:dyDescent="0.25">
      <c r="G1047738" s="2"/>
    </row>
    <row r="1047739" spans="7:7" x14ac:dyDescent="0.25">
      <c r="G1047739" s="2"/>
    </row>
    <row r="1047740" spans="7:7" x14ac:dyDescent="0.25">
      <c r="G1047740" s="2"/>
    </row>
    <row r="1047741" spans="7:7" x14ac:dyDescent="0.25">
      <c r="G1047741" s="2"/>
    </row>
    <row r="1047742" spans="7:7" x14ac:dyDescent="0.25">
      <c r="G1047742" s="2"/>
    </row>
    <row r="1047743" spans="7:7" x14ac:dyDescent="0.25">
      <c r="G1047743" s="2"/>
    </row>
    <row r="1047744" spans="7:7" x14ac:dyDescent="0.25">
      <c r="G1047744" s="2"/>
    </row>
    <row r="1047745" spans="7:7" x14ac:dyDescent="0.25">
      <c r="G1047745" s="2"/>
    </row>
    <row r="1047746" spans="7:7" x14ac:dyDescent="0.25">
      <c r="G1047746" s="2"/>
    </row>
    <row r="1047747" spans="7:7" x14ac:dyDescent="0.25">
      <c r="G1047747" s="2"/>
    </row>
    <row r="1047748" spans="7:7" x14ac:dyDescent="0.25">
      <c r="G1047748" s="2"/>
    </row>
    <row r="1047749" spans="7:7" x14ac:dyDescent="0.25">
      <c r="G1047749" s="2"/>
    </row>
    <row r="1047750" spans="7:7" x14ac:dyDescent="0.25">
      <c r="G1047750" s="2"/>
    </row>
    <row r="1047751" spans="7:7" x14ac:dyDescent="0.25">
      <c r="G1047751" s="2"/>
    </row>
    <row r="1047752" spans="7:7" x14ac:dyDescent="0.25">
      <c r="G1047752" s="2"/>
    </row>
    <row r="1047753" spans="7:7" x14ac:dyDescent="0.25">
      <c r="G1047753" s="2"/>
    </row>
    <row r="1047754" spans="7:7" x14ac:dyDescent="0.25">
      <c r="G1047754" s="2"/>
    </row>
    <row r="1047755" spans="7:7" x14ac:dyDescent="0.25">
      <c r="G1047755" s="2"/>
    </row>
    <row r="1047756" spans="7:7" x14ac:dyDescent="0.25">
      <c r="G1047756" s="2"/>
    </row>
    <row r="1047757" spans="7:7" x14ac:dyDescent="0.25">
      <c r="G1047757" s="2"/>
    </row>
    <row r="1047758" spans="7:7" x14ac:dyDescent="0.25">
      <c r="G1047758" s="2"/>
    </row>
    <row r="1047759" spans="7:7" x14ac:dyDescent="0.25">
      <c r="G1047759" s="2"/>
    </row>
    <row r="1047760" spans="7:7" x14ac:dyDescent="0.25">
      <c r="G1047760" s="2"/>
    </row>
    <row r="1047761" spans="7:7" x14ac:dyDescent="0.25">
      <c r="G1047761" s="2"/>
    </row>
    <row r="1047762" spans="7:7" x14ac:dyDescent="0.25">
      <c r="G1047762" s="2"/>
    </row>
    <row r="1047763" spans="7:7" x14ac:dyDescent="0.25">
      <c r="G1047763" s="2"/>
    </row>
    <row r="1047764" spans="7:7" x14ac:dyDescent="0.25">
      <c r="G1047764" s="2"/>
    </row>
    <row r="1047765" spans="7:7" x14ac:dyDescent="0.25">
      <c r="G1047765" s="2"/>
    </row>
    <row r="1047766" spans="7:7" x14ac:dyDescent="0.25">
      <c r="G1047766" s="2"/>
    </row>
    <row r="1047767" spans="7:7" x14ac:dyDescent="0.25">
      <c r="G1047767" s="2"/>
    </row>
    <row r="1047768" spans="7:7" x14ac:dyDescent="0.25">
      <c r="G1047768" s="2"/>
    </row>
    <row r="1047769" spans="7:7" x14ac:dyDescent="0.25">
      <c r="G1047769" s="2"/>
    </row>
    <row r="1047770" spans="7:7" x14ac:dyDescent="0.25">
      <c r="G1047770" s="2"/>
    </row>
    <row r="1047771" spans="7:7" x14ac:dyDescent="0.25">
      <c r="G1047771" s="2"/>
    </row>
    <row r="1047772" spans="7:7" x14ac:dyDescent="0.25">
      <c r="G1047772" s="2"/>
    </row>
    <row r="1047773" spans="7:7" x14ac:dyDescent="0.25">
      <c r="G1047773" s="2"/>
    </row>
    <row r="1047774" spans="7:7" x14ac:dyDescent="0.25">
      <c r="G1047774" s="2"/>
    </row>
    <row r="1047775" spans="7:7" x14ac:dyDescent="0.25">
      <c r="G1047775" s="2"/>
    </row>
    <row r="1047776" spans="7:7" x14ac:dyDescent="0.25">
      <c r="G1047776" s="2"/>
    </row>
    <row r="1047777" spans="7:7" x14ac:dyDescent="0.25">
      <c r="G1047777" s="2"/>
    </row>
    <row r="1047778" spans="7:7" x14ac:dyDescent="0.25">
      <c r="G1047778" s="2"/>
    </row>
    <row r="1047779" spans="7:7" x14ac:dyDescent="0.25">
      <c r="G1047779" s="2"/>
    </row>
    <row r="1047780" spans="7:7" x14ac:dyDescent="0.25">
      <c r="G1047780" s="2"/>
    </row>
    <row r="1047781" spans="7:7" x14ac:dyDescent="0.25">
      <c r="G1047781" s="2"/>
    </row>
    <row r="1047782" spans="7:7" x14ac:dyDescent="0.25">
      <c r="G1047782" s="2"/>
    </row>
    <row r="1047783" spans="7:7" x14ac:dyDescent="0.25">
      <c r="G1047783" s="2"/>
    </row>
    <row r="1047784" spans="7:7" x14ac:dyDescent="0.25">
      <c r="G1047784" s="2"/>
    </row>
    <row r="1047785" spans="7:7" x14ac:dyDescent="0.25">
      <c r="G1047785" s="2"/>
    </row>
    <row r="1047786" spans="7:7" x14ac:dyDescent="0.25">
      <c r="G1047786" s="2"/>
    </row>
    <row r="1047787" spans="7:7" x14ac:dyDescent="0.25">
      <c r="G1047787" s="2"/>
    </row>
    <row r="1047788" spans="7:7" x14ac:dyDescent="0.25">
      <c r="G1047788" s="2"/>
    </row>
    <row r="1047789" spans="7:7" x14ac:dyDescent="0.25">
      <c r="G1047789" s="2"/>
    </row>
    <row r="1047790" spans="7:7" x14ac:dyDescent="0.25">
      <c r="G1047790" s="2"/>
    </row>
    <row r="1047791" spans="7:7" x14ac:dyDescent="0.25">
      <c r="G1047791" s="2"/>
    </row>
    <row r="1047792" spans="7:7" x14ac:dyDescent="0.25">
      <c r="G1047792" s="2"/>
    </row>
    <row r="1047793" spans="7:7" x14ac:dyDescent="0.25">
      <c r="G1047793" s="2"/>
    </row>
    <row r="1047794" spans="7:7" x14ac:dyDescent="0.25">
      <c r="G1047794" s="2"/>
    </row>
    <row r="1047795" spans="7:7" x14ac:dyDescent="0.25">
      <c r="G1047795" s="2"/>
    </row>
    <row r="1047796" spans="7:7" x14ac:dyDescent="0.25">
      <c r="G1047796" s="2"/>
    </row>
    <row r="1047797" spans="7:7" x14ac:dyDescent="0.25">
      <c r="G1047797" s="2"/>
    </row>
    <row r="1047798" spans="7:7" x14ac:dyDescent="0.25">
      <c r="G1047798" s="2"/>
    </row>
    <row r="1047799" spans="7:7" x14ac:dyDescent="0.25">
      <c r="G1047799" s="2"/>
    </row>
    <row r="1047800" spans="7:7" x14ac:dyDescent="0.25">
      <c r="G1047800" s="2"/>
    </row>
    <row r="1047801" spans="7:7" x14ac:dyDescent="0.25">
      <c r="G1047801" s="2"/>
    </row>
    <row r="1047802" spans="7:7" x14ac:dyDescent="0.25">
      <c r="G1047802" s="2"/>
    </row>
    <row r="1047803" spans="7:7" x14ac:dyDescent="0.25">
      <c r="G1047803" s="2"/>
    </row>
    <row r="1047804" spans="7:7" x14ac:dyDescent="0.25">
      <c r="G1047804" s="2"/>
    </row>
    <row r="1047805" spans="7:7" x14ac:dyDescent="0.25">
      <c r="G1047805" s="2"/>
    </row>
    <row r="1047806" spans="7:7" x14ac:dyDescent="0.25">
      <c r="G1047806" s="2"/>
    </row>
    <row r="1047807" spans="7:7" x14ac:dyDescent="0.25">
      <c r="G1047807" s="2"/>
    </row>
    <row r="1047808" spans="7:7" x14ac:dyDescent="0.25">
      <c r="G1047808" s="2"/>
    </row>
    <row r="1047809" spans="7:7" x14ac:dyDescent="0.25">
      <c r="G1047809" s="2"/>
    </row>
    <row r="1047810" spans="7:7" x14ac:dyDescent="0.25">
      <c r="G1047810" s="2"/>
    </row>
    <row r="1047811" spans="7:7" x14ac:dyDescent="0.25">
      <c r="G1047811" s="2"/>
    </row>
    <row r="1047812" spans="7:7" x14ac:dyDescent="0.25">
      <c r="G1047812" s="2"/>
    </row>
    <row r="1047813" spans="7:7" x14ac:dyDescent="0.25">
      <c r="G1047813" s="2"/>
    </row>
    <row r="1047814" spans="7:7" x14ac:dyDescent="0.25">
      <c r="G1047814" s="2"/>
    </row>
    <row r="1047815" spans="7:7" x14ac:dyDescent="0.25">
      <c r="G1047815" s="2"/>
    </row>
    <row r="1047816" spans="7:7" x14ac:dyDescent="0.25">
      <c r="G1047816" s="2"/>
    </row>
    <row r="1047817" spans="7:7" x14ac:dyDescent="0.25">
      <c r="G1047817" s="2"/>
    </row>
    <row r="1047818" spans="7:7" x14ac:dyDescent="0.25">
      <c r="G1047818" s="2"/>
    </row>
    <row r="1047819" spans="7:7" x14ac:dyDescent="0.25">
      <c r="G1047819" s="2"/>
    </row>
    <row r="1047820" spans="7:7" x14ac:dyDescent="0.25">
      <c r="G1047820" s="2"/>
    </row>
    <row r="1047821" spans="7:7" x14ac:dyDescent="0.25">
      <c r="G1047821" s="2"/>
    </row>
    <row r="1047822" spans="7:7" x14ac:dyDescent="0.25">
      <c r="G1047822" s="2"/>
    </row>
    <row r="1047823" spans="7:7" x14ac:dyDescent="0.25">
      <c r="G1047823" s="2"/>
    </row>
    <row r="1047824" spans="7:7" x14ac:dyDescent="0.25">
      <c r="G1047824" s="2"/>
    </row>
    <row r="1047825" spans="7:7" x14ac:dyDescent="0.25">
      <c r="G1047825" s="2"/>
    </row>
    <row r="1047826" spans="7:7" x14ac:dyDescent="0.25">
      <c r="G1047826" s="2"/>
    </row>
    <row r="1047827" spans="7:7" x14ac:dyDescent="0.25">
      <c r="G1047827" s="2"/>
    </row>
    <row r="1047828" spans="7:7" x14ac:dyDescent="0.25">
      <c r="G1047828" s="2"/>
    </row>
    <row r="1047829" spans="7:7" x14ac:dyDescent="0.25">
      <c r="G1047829" s="2"/>
    </row>
    <row r="1047830" spans="7:7" x14ac:dyDescent="0.25">
      <c r="G1047830" s="2"/>
    </row>
    <row r="1047831" spans="7:7" x14ac:dyDescent="0.25">
      <c r="G1047831" s="2"/>
    </row>
    <row r="1047832" spans="7:7" x14ac:dyDescent="0.25">
      <c r="G1047832" s="2"/>
    </row>
    <row r="1047833" spans="7:7" x14ac:dyDescent="0.25">
      <c r="G1047833" s="2"/>
    </row>
    <row r="1047834" spans="7:7" x14ac:dyDescent="0.25">
      <c r="G1047834" s="2"/>
    </row>
    <row r="1047835" spans="7:7" x14ac:dyDescent="0.25">
      <c r="G1047835" s="2"/>
    </row>
    <row r="1047836" spans="7:7" x14ac:dyDescent="0.25">
      <c r="G1047836" s="2"/>
    </row>
    <row r="1047837" spans="7:7" x14ac:dyDescent="0.25">
      <c r="G1047837" s="2"/>
    </row>
    <row r="1047838" spans="7:7" x14ac:dyDescent="0.25">
      <c r="G1047838" s="2"/>
    </row>
    <row r="1047839" spans="7:7" x14ac:dyDescent="0.25">
      <c r="G1047839" s="2"/>
    </row>
    <row r="1047840" spans="7:7" x14ac:dyDescent="0.25">
      <c r="G1047840" s="2"/>
    </row>
    <row r="1047841" spans="7:7" x14ac:dyDescent="0.25">
      <c r="G1047841" s="2"/>
    </row>
    <row r="1047842" spans="7:7" x14ac:dyDescent="0.25">
      <c r="G1047842" s="2"/>
    </row>
    <row r="1047843" spans="7:7" x14ac:dyDescent="0.25">
      <c r="G1047843" s="2"/>
    </row>
    <row r="1047844" spans="7:7" x14ac:dyDescent="0.25">
      <c r="G1047844" s="2"/>
    </row>
    <row r="1047845" spans="7:7" x14ac:dyDescent="0.25">
      <c r="G1047845" s="2"/>
    </row>
    <row r="1047846" spans="7:7" x14ac:dyDescent="0.25">
      <c r="G1047846" s="2"/>
    </row>
    <row r="1047847" spans="7:7" x14ac:dyDescent="0.25">
      <c r="G1047847" s="2"/>
    </row>
    <row r="1047848" spans="7:7" x14ac:dyDescent="0.25">
      <c r="G1047848" s="2"/>
    </row>
    <row r="1047849" spans="7:7" x14ac:dyDescent="0.25">
      <c r="G1047849" s="2"/>
    </row>
    <row r="1047850" spans="7:7" x14ac:dyDescent="0.25">
      <c r="G1047850" s="2"/>
    </row>
    <row r="1047851" spans="7:7" x14ac:dyDescent="0.25">
      <c r="G1047851" s="2"/>
    </row>
    <row r="1047852" spans="7:7" x14ac:dyDescent="0.25">
      <c r="G1047852" s="2"/>
    </row>
    <row r="1047853" spans="7:7" x14ac:dyDescent="0.25">
      <c r="G1047853" s="2"/>
    </row>
    <row r="1047854" spans="7:7" x14ac:dyDescent="0.25">
      <c r="G1047854" s="2"/>
    </row>
    <row r="1047855" spans="7:7" x14ac:dyDescent="0.25">
      <c r="G1047855" s="2"/>
    </row>
    <row r="1047856" spans="7:7" x14ac:dyDescent="0.25">
      <c r="G1047856" s="2"/>
    </row>
    <row r="1047857" spans="7:7" x14ac:dyDescent="0.25">
      <c r="G1047857" s="2"/>
    </row>
    <row r="1047858" spans="7:7" x14ac:dyDescent="0.25">
      <c r="G1047858" s="2"/>
    </row>
    <row r="1047859" spans="7:7" x14ac:dyDescent="0.25">
      <c r="G1047859" s="2"/>
    </row>
    <row r="1047860" spans="7:7" x14ac:dyDescent="0.25">
      <c r="G1047860" s="2"/>
    </row>
    <row r="1047861" spans="7:7" x14ac:dyDescent="0.25">
      <c r="G1047861" s="2"/>
    </row>
    <row r="1047862" spans="7:7" x14ac:dyDescent="0.25">
      <c r="G1047862" s="2"/>
    </row>
    <row r="1047863" spans="7:7" x14ac:dyDescent="0.25">
      <c r="G1047863" s="2"/>
    </row>
    <row r="1047864" spans="7:7" x14ac:dyDescent="0.25">
      <c r="G1047864" s="2"/>
    </row>
    <row r="1047865" spans="7:7" x14ac:dyDescent="0.25">
      <c r="G1047865" s="2"/>
    </row>
    <row r="1047866" spans="7:7" x14ac:dyDescent="0.25">
      <c r="G1047866" s="2"/>
    </row>
    <row r="1047867" spans="7:7" x14ac:dyDescent="0.25">
      <c r="G1047867" s="2"/>
    </row>
    <row r="1047868" spans="7:7" x14ac:dyDescent="0.25">
      <c r="G1047868" s="2"/>
    </row>
    <row r="1047869" spans="7:7" x14ac:dyDescent="0.25">
      <c r="G1047869" s="2"/>
    </row>
    <row r="1047870" spans="7:7" x14ac:dyDescent="0.25">
      <c r="G1047870" s="2"/>
    </row>
    <row r="1047871" spans="7:7" x14ac:dyDescent="0.25">
      <c r="G1047871" s="2"/>
    </row>
    <row r="1047872" spans="7:7" x14ac:dyDescent="0.25">
      <c r="G1047872" s="2"/>
    </row>
    <row r="1047873" spans="7:7" x14ac:dyDescent="0.25">
      <c r="G1047873" s="2"/>
    </row>
    <row r="1047874" spans="7:7" x14ac:dyDescent="0.25">
      <c r="G1047874" s="2"/>
    </row>
    <row r="1047875" spans="7:7" x14ac:dyDescent="0.25">
      <c r="G1047875" s="2"/>
    </row>
    <row r="1047876" spans="7:7" x14ac:dyDescent="0.25">
      <c r="G1047876" s="2"/>
    </row>
    <row r="1047877" spans="7:7" x14ac:dyDescent="0.25">
      <c r="G1047877" s="2"/>
    </row>
    <row r="1047878" spans="7:7" x14ac:dyDescent="0.25">
      <c r="G1047878" s="2"/>
    </row>
    <row r="1047879" spans="7:7" x14ac:dyDescent="0.25">
      <c r="G1047879" s="2"/>
    </row>
    <row r="1047880" spans="7:7" x14ac:dyDescent="0.25">
      <c r="G1047880" s="2"/>
    </row>
    <row r="1047881" spans="7:7" x14ac:dyDescent="0.25">
      <c r="G1047881" s="2"/>
    </row>
    <row r="1047882" spans="7:7" x14ac:dyDescent="0.25">
      <c r="G1047882" s="2"/>
    </row>
    <row r="1047883" spans="7:7" x14ac:dyDescent="0.25">
      <c r="G1047883" s="2"/>
    </row>
    <row r="1047884" spans="7:7" x14ac:dyDescent="0.25">
      <c r="G1047884" s="2"/>
    </row>
    <row r="1047885" spans="7:7" x14ac:dyDescent="0.25">
      <c r="G1047885" s="2"/>
    </row>
    <row r="1047886" spans="7:7" x14ac:dyDescent="0.25">
      <c r="G1047886" s="2"/>
    </row>
    <row r="1047887" spans="7:7" x14ac:dyDescent="0.25">
      <c r="G1047887" s="2"/>
    </row>
    <row r="1047888" spans="7:7" x14ac:dyDescent="0.25">
      <c r="G1047888" s="2"/>
    </row>
    <row r="1047889" spans="7:7" x14ac:dyDescent="0.25">
      <c r="G1047889" s="2"/>
    </row>
    <row r="1047890" spans="7:7" x14ac:dyDescent="0.25">
      <c r="G1047890" s="2"/>
    </row>
    <row r="1047891" spans="7:7" x14ac:dyDescent="0.25">
      <c r="G1047891" s="2"/>
    </row>
    <row r="1047892" spans="7:7" x14ac:dyDescent="0.25">
      <c r="G1047892" s="2"/>
    </row>
    <row r="1047893" spans="7:7" x14ac:dyDescent="0.25">
      <c r="G1047893" s="2"/>
    </row>
    <row r="1047894" spans="7:7" x14ac:dyDescent="0.25">
      <c r="G1047894" s="2"/>
    </row>
    <row r="1047895" spans="7:7" x14ac:dyDescent="0.25">
      <c r="G1047895" s="2"/>
    </row>
    <row r="1047896" spans="7:7" x14ac:dyDescent="0.25">
      <c r="G1047896" s="2"/>
    </row>
    <row r="1047897" spans="7:7" x14ac:dyDescent="0.25">
      <c r="G1047897" s="2"/>
    </row>
    <row r="1047898" spans="7:7" x14ac:dyDescent="0.25">
      <c r="G1047898" s="2"/>
    </row>
    <row r="1047899" spans="7:7" x14ac:dyDescent="0.25">
      <c r="G1047899" s="2"/>
    </row>
    <row r="1047900" spans="7:7" x14ac:dyDescent="0.25">
      <c r="G1047900" s="2"/>
    </row>
    <row r="1047901" spans="7:7" x14ac:dyDescent="0.25">
      <c r="G1047901" s="2"/>
    </row>
    <row r="1047902" spans="7:7" x14ac:dyDescent="0.25">
      <c r="G1047902" s="2"/>
    </row>
    <row r="1047903" spans="7:7" x14ac:dyDescent="0.25">
      <c r="G1047903" s="2"/>
    </row>
    <row r="1047904" spans="7:7" x14ac:dyDescent="0.25">
      <c r="G1047904" s="2"/>
    </row>
    <row r="1047905" spans="7:7" x14ac:dyDescent="0.25">
      <c r="G1047905" s="2"/>
    </row>
    <row r="1047906" spans="7:7" x14ac:dyDescent="0.25">
      <c r="G1047906" s="2"/>
    </row>
    <row r="1047907" spans="7:7" x14ac:dyDescent="0.25">
      <c r="G1047907" s="2"/>
    </row>
    <row r="1047908" spans="7:7" x14ac:dyDescent="0.25">
      <c r="G1047908" s="2"/>
    </row>
    <row r="1047909" spans="7:7" x14ac:dyDescent="0.25">
      <c r="G1047909" s="2"/>
    </row>
    <row r="1047910" spans="7:7" x14ac:dyDescent="0.25">
      <c r="G1047910" s="2"/>
    </row>
    <row r="1047911" spans="7:7" x14ac:dyDescent="0.25">
      <c r="G1047911" s="2"/>
    </row>
    <row r="1047912" spans="7:7" x14ac:dyDescent="0.25">
      <c r="G1047912" s="2"/>
    </row>
    <row r="1047913" spans="7:7" x14ac:dyDescent="0.25">
      <c r="G1047913" s="2"/>
    </row>
    <row r="1047914" spans="7:7" x14ac:dyDescent="0.25">
      <c r="G1047914" s="2"/>
    </row>
    <row r="1047915" spans="7:7" x14ac:dyDescent="0.25">
      <c r="G1047915" s="2"/>
    </row>
    <row r="1047916" spans="7:7" x14ac:dyDescent="0.25">
      <c r="G1047916" s="2"/>
    </row>
    <row r="1047917" spans="7:7" x14ac:dyDescent="0.25">
      <c r="G1047917" s="2"/>
    </row>
    <row r="1047918" spans="7:7" x14ac:dyDescent="0.25">
      <c r="G1047918" s="2"/>
    </row>
    <row r="1047919" spans="7:7" x14ac:dyDescent="0.25">
      <c r="G1047919" s="2"/>
    </row>
    <row r="1047920" spans="7:7" x14ac:dyDescent="0.25">
      <c r="G1047920" s="2"/>
    </row>
    <row r="1047921" spans="7:7" x14ac:dyDescent="0.25">
      <c r="G1047921" s="2"/>
    </row>
    <row r="1047922" spans="7:7" x14ac:dyDescent="0.25">
      <c r="G1047922" s="2"/>
    </row>
    <row r="1047923" spans="7:7" x14ac:dyDescent="0.25">
      <c r="G1047923" s="2"/>
    </row>
    <row r="1047924" spans="7:7" x14ac:dyDescent="0.25">
      <c r="G1047924" s="2"/>
    </row>
    <row r="1047925" spans="7:7" x14ac:dyDescent="0.25">
      <c r="G1047925" s="2"/>
    </row>
    <row r="1047926" spans="7:7" x14ac:dyDescent="0.25">
      <c r="G1047926" s="2"/>
    </row>
    <row r="1047927" spans="7:7" x14ac:dyDescent="0.25">
      <c r="G1047927" s="2"/>
    </row>
    <row r="1047928" spans="7:7" x14ac:dyDescent="0.25">
      <c r="G1047928" s="2"/>
    </row>
    <row r="1047929" spans="7:7" x14ac:dyDescent="0.25">
      <c r="G1047929" s="2"/>
    </row>
    <row r="1047930" spans="7:7" x14ac:dyDescent="0.25">
      <c r="G1047930" s="2"/>
    </row>
    <row r="1047931" spans="7:7" x14ac:dyDescent="0.25">
      <c r="G1047931" s="2"/>
    </row>
    <row r="1047932" spans="7:7" x14ac:dyDescent="0.25">
      <c r="G1047932" s="2"/>
    </row>
    <row r="1047933" spans="7:7" x14ac:dyDescent="0.25">
      <c r="G1047933" s="2"/>
    </row>
    <row r="1047934" spans="7:7" x14ac:dyDescent="0.25">
      <c r="G1047934" s="2"/>
    </row>
    <row r="1047935" spans="7:7" x14ac:dyDescent="0.25">
      <c r="G1047935" s="2"/>
    </row>
    <row r="1047936" spans="7:7" x14ac:dyDescent="0.25">
      <c r="G1047936" s="2"/>
    </row>
    <row r="1047937" spans="7:7" x14ac:dyDescent="0.25">
      <c r="G1047937" s="2"/>
    </row>
    <row r="1047938" spans="7:7" x14ac:dyDescent="0.25">
      <c r="G1047938" s="2"/>
    </row>
    <row r="1047939" spans="7:7" x14ac:dyDescent="0.25">
      <c r="G1047939" s="2"/>
    </row>
    <row r="1047940" spans="7:7" x14ac:dyDescent="0.25">
      <c r="G1047940" s="2"/>
    </row>
    <row r="1047941" spans="7:7" x14ac:dyDescent="0.25">
      <c r="G1047941" s="2"/>
    </row>
    <row r="1047942" spans="7:7" x14ac:dyDescent="0.25">
      <c r="G1047942" s="2"/>
    </row>
    <row r="1047943" spans="7:7" x14ac:dyDescent="0.25">
      <c r="G1047943" s="2"/>
    </row>
    <row r="1047944" spans="7:7" x14ac:dyDescent="0.25">
      <c r="G1047944" s="2"/>
    </row>
    <row r="1047945" spans="7:7" x14ac:dyDescent="0.25">
      <c r="G1047945" s="2"/>
    </row>
    <row r="1047946" spans="7:7" x14ac:dyDescent="0.25">
      <c r="G1047946" s="2"/>
    </row>
    <row r="1047947" spans="7:7" x14ac:dyDescent="0.25">
      <c r="G1047947" s="2"/>
    </row>
    <row r="1047948" spans="7:7" x14ac:dyDescent="0.25">
      <c r="G1047948" s="2"/>
    </row>
    <row r="1047949" spans="7:7" x14ac:dyDescent="0.25">
      <c r="G1047949" s="2"/>
    </row>
    <row r="1047950" spans="7:7" x14ac:dyDescent="0.25">
      <c r="G1047950" s="2"/>
    </row>
    <row r="1047951" spans="7:7" x14ac:dyDescent="0.25">
      <c r="G1047951" s="2"/>
    </row>
    <row r="1047952" spans="7:7" x14ac:dyDescent="0.25">
      <c r="G1047952" s="2"/>
    </row>
    <row r="1047953" spans="7:7" x14ac:dyDescent="0.25">
      <c r="G1047953" s="2"/>
    </row>
    <row r="1047954" spans="7:7" x14ac:dyDescent="0.25">
      <c r="G1047954" s="2"/>
    </row>
    <row r="1047955" spans="7:7" x14ac:dyDescent="0.25">
      <c r="G1047955" s="2"/>
    </row>
    <row r="1047956" spans="7:7" x14ac:dyDescent="0.25">
      <c r="G1047956" s="2"/>
    </row>
    <row r="1047957" spans="7:7" x14ac:dyDescent="0.25">
      <c r="G1047957" s="2"/>
    </row>
    <row r="1047958" spans="7:7" x14ac:dyDescent="0.25">
      <c r="G1047958" s="2"/>
    </row>
    <row r="1047959" spans="7:7" x14ac:dyDescent="0.25">
      <c r="G1047959" s="2"/>
    </row>
    <row r="1047960" spans="7:7" x14ac:dyDescent="0.25">
      <c r="G1047960" s="2"/>
    </row>
    <row r="1047961" spans="7:7" x14ac:dyDescent="0.25">
      <c r="G1047961" s="2"/>
    </row>
    <row r="1047962" spans="7:7" x14ac:dyDescent="0.25">
      <c r="G1047962" s="2"/>
    </row>
    <row r="1047963" spans="7:7" x14ac:dyDescent="0.25">
      <c r="G1047963" s="2"/>
    </row>
    <row r="1047964" spans="7:7" x14ac:dyDescent="0.25">
      <c r="G1047964" s="2"/>
    </row>
    <row r="1047965" spans="7:7" x14ac:dyDescent="0.25">
      <c r="G1047965" s="2"/>
    </row>
    <row r="1047966" spans="7:7" x14ac:dyDescent="0.25">
      <c r="G1047966" s="2"/>
    </row>
    <row r="1047967" spans="7:7" x14ac:dyDescent="0.25">
      <c r="G1047967" s="2"/>
    </row>
    <row r="1047968" spans="7:7" x14ac:dyDescent="0.25">
      <c r="G1047968" s="2"/>
    </row>
    <row r="1047969" spans="7:7" x14ac:dyDescent="0.25">
      <c r="G1047969" s="2"/>
    </row>
    <row r="1047970" spans="7:7" x14ac:dyDescent="0.25">
      <c r="G1047970" s="2"/>
    </row>
    <row r="1047971" spans="7:7" x14ac:dyDescent="0.25">
      <c r="G1047971" s="2"/>
    </row>
    <row r="1047972" spans="7:7" x14ac:dyDescent="0.25">
      <c r="G1047972" s="2"/>
    </row>
    <row r="1047973" spans="7:7" x14ac:dyDescent="0.25">
      <c r="G1047973" s="2"/>
    </row>
    <row r="1047974" spans="7:7" x14ac:dyDescent="0.25">
      <c r="G1047974" s="2"/>
    </row>
    <row r="1047975" spans="7:7" x14ac:dyDescent="0.25">
      <c r="G1047975" s="2"/>
    </row>
    <row r="1047976" spans="7:7" x14ac:dyDescent="0.25">
      <c r="G1047976" s="2"/>
    </row>
    <row r="1047977" spans="7:7" x14ac:dyDescent="0.25">
      <c r="G1047977" s="2"/>
    </row>
    <row r="1047978" spans="7:7" x14ac:dyDescent="0.25">
      <c r="G1047978" s="2"/>
    </row>
    <row r="1047979" spans="7:7" x14ac:dyDescent="0.25">
      <c r="G1047979" s="2"/>
    </row>
    <row r="1047980" spans="7:7" x14ac:dyDescent="0.25">
      <c r="G1047980" s="2"/>
    </row>
    <row r="1047981" spans="7:7" x14ac:dyDescent="0.25">
      <c r="G1047981" s="2"/>
    </row>
    <row r="1047982" spans="7:7" x14ac:dyDescent="0.25">
      <c r="G1047982" s="2"/>
    </row>
    <row r="1047983" spans="7:7" x14ac:dyDescent="0.25">
      <c r="G1047983" s="2"/>
    </row>
    <row r="1047984" spans="7:7" x14ac:dyDescent="0.25">
      <c r="G1047984" s="2"/>
    </row>
    <row r="1047985" spans="7:7" x14ac:dyDescent="0.25">
      <c r="G1047985" s="2"/>
    </row>
    <row r="1047986" spans="7:7" x14ac:dyDescent="0.25">
      <c r="G1047986" s="2"/>
    </row>
    <row r="1047987" spans="7:7" x14ac:dyDescent="0.25">
      <c r="G1047987" s="2"/>
    </row>
    <row r="1047988" spans="7:7" x14ac:dyDescent="0.25">
      <c r="G1047988" s="2"/>
    </row>
    <row r="1047989" spans="7:7" x14ac:dyDescent="0.25">
      <c r="G1047989" s="2"/>
    </row>
    <row r="1047990" spans="7:7" x14ac:dyDescent="0.25">
      <c r="G1047990" s="2"/>
    </row>
    <row r="1047991" spans="7:7" x14ac:dyDescent="0.25">
      <c r="G1047991" s="2"/>
    </row>
    <row r="1047992" spans="7:7" x14ac:dyDescent="0.25">
      <c r="G1047992" s="2"/>
    </row>
    <row r="1047993" spans="7:7" x14ac:dyDescent="0.25">
      <c r="G1047993" s="2"/>
    </row>
    <row r="1047994" spans="7:7" x14ac:dyDescent="0.25">
      <c r="G1047994" s="2"/>
    </row>
    <row r="1047995" spans="7:7" x14ac:dyDescent="0.25">
      <c r="G1047995" s="2"/>
    </row>
    <row r="1047996" spans="7:7" x14ac:dyDescent="0.25">
      <c r="G1047996" s="2"/>
    </row>
    <row r="1047997" spans="7:7" x14ac:dyDescent="0.25">
      <c r="G1047997" s="2"/>
    </row>
    <row r="1047998" spans="7:7" x14ac:dyDescent="0.25">
      <c r="G1047998" s="2"/>
    </row>
    <row r="1047999" spans="7:7" x14ac:dyDescent="0.25">
      <c r="G1047999" s="2"/>
    </row>
    <row r="1048000" spans="7:7" x14ac:dyDescent="0.25">
      <c r="G1048000" s="2"/>
    </row>
    <row r="1048001" spans="7:7" x14ac:dyDescent="0.25">
      <c r="G1048001" s="2"/>
    </row>
    <row r="1048002" spans="7:7" x14ac:dyDescent="0.25">
      <c r="G1048002" s="2"/>
    </row>
    <row r="1048003" spans="7:7" x14ac:dyDescent="0.25">
      <c r="G1048003" s="2"/>
    </row>
    <row r="1048004" spans="7:7" x14ac:dyDescent="0.25">
      <c r="G1048004" s="2"/>
    </row>
    <row r="1048005" spans="7:7" x14ac:dyDescent="0.25">
      <c r="G1048005" s="2"/>
    </row>
    <row r="1048006" spans="7:7" x14ac:dyDescent="0.25">
      <c r="G1048006" s="2"/>
    </row>
    <row r="1048007" spans="7:7" x14ac:dyDescent="0.25">
      <c r="G1048007" s="2"/>
    </row>
    <row r="1048008" spans="7:7" x14ac:dyDescent="0.25">
      <c r="G1048008" s="2"/>
    </row>
    <row r="1048009" spans="7:7" x14ac:dyDescent="0.25">
      <c r="G1048009" s="2"/>
    </row>
    <row r="1048010" spans="7:7" x14ac:dyDescent="0.25">
      <c r="G1048010" s="2"/>
    </row>
    <row r="1048011" spans="7:7" x14ac:dyDescent="0.25">
      <c r="G1048011" s="2"/>
    </row>
    <row r="1048012" spans="7:7" x14ac:dyDescent="0.25">
      <c r="G1048012" s="2"/>
    </row>
    <row r="1048013" spans="7:7" x14ac:dyDescent="0.25">
      <c r="G1048013" s="2"/>
    </row>
    <row r="1048014" spans="7:7" x14ac:dyDescent="0.25">
      <c r="G1048014" s="2"/>
    </row>
    <row r="1048015" spans="7:7" x14ac:dyDescent="0.25">
      <c r="G1048015" s="2"/>
    </row>
    <row r="1048016" spans="7:7" x14ac:dyDescent="0.25">
      <c r="G1048016" s="2"/>
    </row>
    <row r="1048017" spans="7:7" x14ac:dyDescent="0.25">
      <c r="G1048017" s="2"/>
    </row>
    <row r="1048018" spans="7:7" x14ac:dyDescent="0.25">
      <c r="G1048018" s="2"/>
    </row>
    <row r="1048019" spans="7:7" x14ac:dyDescent="0.25">
      <c r="G1048019" s="2"/>
    </row>
    <row r="1048020" spans="7:7" x14ac:dyDescent="0.25">
      <c r="G1048020" s="2"/>
    </row>
    <row r="1048021" spans="7:7" x14ac:dyDescent="0.25">
      <c r="G1048021" s="2"/>
    </row>
    <row r="1048022" spans="7:7" x14ac:dyDescent="0.25">
      <c r="G1048022" s="2"/>
    </row>
    <row r="1048023" spans="7:7" x14ac:dyDescent="0.25">
      <c r="G1048023" s="2"/>
    </row>
    <row r="1048024" spans="7:7" x14ac:dyDescent="0.25">
      <c r="G1048024" s="2"/>
    </row>
    <row r="1048025" spans="7:7" x14ac:dyDescent="0.25">
      <c r="G1048025" s="2"/>
    </row>
    <row r="1048026" spans="7:7" x14ac:dyDescent="0.25">
      <c r="G1048026" s="2"/>
    </row>
    <row r="1048027" spans="7:7" x14ac:dyDescent="0.25">
      <c r="G1048027" s="2"/>
    </row>
    <row r="1048028" spans="7:7" x14ac:dyDescent="0.25">
      <c r="G1048028" s="2"/>
    </row>
    <row r="1048029" spans="7:7" x14ac:dyDescent="0.25">
      <c r="G1048029" s="2"/>
    </row>
    <row r="1048030" spans="7:7" x14ac:dyDescent="0.25">
      <c r="G1048030" s="2"/>
    </row>
    <row r="1048031" spans="7:7" x14ac:dyDescent="0.25">
      <c r="G1048031" s="2"/>
    </row>
    <row r="1048032" spans="7:7" x14ac:dyDescent="0.25">
      <c r="G1048032" s="2"/>
    </row>
    <row r="1048033" spans="7:7" x14ac:dyDescent="0.25">
      <c r="G1048033" s="2"/>
    </row>
    <row r="1048034" spans="7:7" x14ac:dyDescent="0.25">
      <c r="G1048034" s="2"/>
    </row>
    <row r="1048035" spans="7:7" x14ac:dyDescent="0.25">
      <c r="G1048035" s="2"/>
    </row>
    <row r="1048036" spans="7:7" x14ac:dyDescent="0.25">
      <c r="G1048036" s="2"/>
    </row>
    <row r="1048037" spans="7:7" x14ac:dyDescent="0.25">
      <c r="G1048037" s="2"/>
    </row>
    <row r="1048038" spans="7:7" x14ac:dyDescent="0.25">
      <c r="G1048038" s="2"/>
    </row>
    <row r="1048039" spans="7:7" x14ac:dyDescent="0.25">
      <c r="G1048039" s="2"/>
    </row>
    <row r="1048040" spans="7:7" x14ac:dyDescent="0.25">
      <c r="G1048040" s="2"/>
    </row>
    <row r="1048041" spans="7:7" x14ac:dyDescent="0.25">
      <c r="G1048041" s="2"/>
    </row>
    <row r="1048042" spans="7:7" x14ac:dyDescent="0.25">
      <c r="G1048042" s="2"/>
    </row>
    <row r="1048043" spans="7:7" x14ac:dyDescent="0.25">
      <c r="G1048043" s="2"/>
    </row>
    <row r="1048044" spans="7:7" x14ac:dyDescent="0.25">
      <c r="G1048044" s="2"/>
    </row>
    <row r="1048045" spans="7:7" x14ac:dyDescent="0.25">
      <c r="G1048045" s="2"/>
    </row>
    <row r="1048046" spans="7:7" x14ac:dyDescent="0.25">
      <c r="G1048046" s="2"/>
    </row>
    <row r="1048047" spans="7:7" x14ac:dyDescent="0.25">
      <c r="G1048047" s="2"/>
    </row>
    <row r="1048048" spans="7:7" x14ac:dyDescent="0.25">
      <c r="G1048048" s="2"/>
    </row>
    <row r="1048049" spans="7:7" x14ac:dyDescent="0.25">
      <c r="G1048049" s="2"/>
    </row>
    <row r="1048050" spans="7:7" x14ac:dyDescent="0.25">
      <c r="G1048050" s="2"/>
    </row>
    <row r="1048051" spans="7:7" x14ac:dyDescent="0.25">
      <c r="G1048051" s="2"/>
    </row>
    <row r="1048052" spans="7:7" x14ac:dyDescent="0.25">
      <c r="G1048052" s="2"/>
    </row>
    <row r="1048053" spans="7:7" x14ac:dyDescent="0.25">
      <c r="G1048053" s="2"/>
    </row>
    <row r="1048054" spans="7:7" x14ac:dyDescent="0.25">
      <c r="G1048054" s="2"/>
    </row>
    <row r="1048055" spans="7:7" x14ac:dyDescent="0.25">
      <c r="G1048055" s="2"/>
    </row>
    <row r="1048056" spans="7:7" x14ac:dyDescent="0.25">
      <c r="G1048056" s="2"/>
    </row>
    <row r="1048057" spans="7:7" x14ac:dyDescent="0.25">
      <c r="G1048057" s="2"/>
    </row>
    <row r="1048058" spans="7:7" x14ac:dyDescent="0.25">
      <c r="G1048058" s="2"/>
    </row>
    <row r="1048059" spans="7:7" x14ac:dyDescent="0.25">
      <c r="G1048059" s="2"/>
    </row>
    <row r="1048060" spans="7:7" x14ac:dyDescent="0.25">
      <c r="G1048060" s="2"/>
    </row>
    <row r="1048061" spans="7:7" x14ac:dyDescent="0.25">
      <c r="G1048061" s="2"/>
    </row>
    <row r="1048062" spans="7:7" x14ac:dyDescent="0.25">
      <c r="G1048062" s="2"/>
    </row>
    <row r="1048063" spans="7:7" x14ac:dyDescent="0.25">
      <c r="G1048063" s="2"/>
    </row>
    <row r="1048064" spans="7:7" x14ac:dyDescent="0.25">
      <c r="G1048064" s="2"/>
    </row>
    <row r="1048065" spans="7:7" x14ac:dyDescent="0.25">
      <c r="G1048065" s="2"/>
    </row>
    <row r="1048066" spans="7:7" x14ac:dyDescent="0.25">
      <c r="G1048066" s="2"/>
    </row>
    <row r="1048067" spans="7:7" x14ac:dyDescent="0.25">
      <c r="G1048067" s="2"/>
    </row>
    <row r="1048068" spans="7:7" x14ac:dyDescent="0.25">
      <c r="G1048068" s="2"/>
    </row>
    <row r="1048069" spans="7:7" x14ac:dyDescent="0.25">
      <c r="G1048069" s="2"/>
    </row>
    <row r="1048070" spans="7:7" x14ac:dyDescent="0.25">
      <c r="G1048070" s="2"/>
    </row>
    <row r="1048071" spans="7:7" x14ac:dyDescent="0.25">
      <c r="G1048071" s="2"/>
    </row>
    <row r="1048072" spans="7:7" x14ac:dyDescent="0.25">
      <c r="G1048072" s="2"/>
    </row>
    <row r="1048073" spans="7:7" x14ac:dyDescent="0.25">
      <c r="G1048073" s="2"/>
    </row>
    <row r="1048074" spans="7:7" x14ac:dyDescent="0.25">
      <c r="G1048074" s="2"/>
    </row>
    <row r="1048075" spans="7:7" x14ac:dyDescent="0.25">
      <c r="G1048075" s="2"/>
    </row>
    <row r="1048076" spans="7:7" x14ac:dyDescent="0.25">
      <c r="G1048076" s="2"/>
    </row>
    <row r="1048077" spans="7:7" x14ac:dyDescent="0.25">
      <c r="G1048077" s="2"/>
    </row>
    <row r="1048078" spans="7:7" x14ac:dyDescent="0.25">
      <c r="G1048078" s="2"/>
    </row>
    <row r="1048079" spans="7:7" x14ac:dyDescent="0.25">
      <c r="G1048079" s="2"/>
    </row>
    <row r="1048080" spans="7:7" x14ac:dyDescent="0.25">
      <c r="G1048080" s="2"/>
    </row>
    <row r="1048081" spans="7:7" x14ac:dyDescent="0.25">
      <c r="G1048081" s="2"/>
    </row>
    <row r="1048082" spans="7:7" x14ac:dyDescent="0.25">
      <c r="G1048082" s="2"/>
    </row>
    <row r="1048083" spans="7:7" x14ac:dyDescent="0.25">
      <c r="G1048083" s="2"/>
    </row>
    <row r="1048084" spans="7:7" x14ac:dyDescent="0.25">
      <c r="G1048084" s="2"/>
    </row>
    <row r="1048085" spans="7:7" x14ac:dyDescent="0.25">
      <c r="G1048085" s="2"/>
    </row>
    <row r="1048086" spans="7:7" x14ac:dyDescent="0.25">
      <c r="G1048086" s="2"/>
    </row>
    <row r="1048087" spans="7:7" x14ac:dyDescent="0.25">
      <c r="G1048087" s="2"/>
    </row>
    <row r="1048088" spans="7:7" x14ac:dyDescent="0.25">
      <c r="G1048088" s="2"/>
    </row>
    <row r="1048089" spans="7:7" x14ac:dyDescent="0.25">
      <c r="G1048089" s="2"/>
    </row>
    <row r="1048090" spans="7:7" x14ac:dyDescent="0.25">
      <c r="G1048090" s="2"/>
    </row>
    <row r="1048091" spans="7:7" x14ac:dyDescent="0.25">
      <c r="G1048091" s="2"/>
    </row>
    <row r="1048092" spans="7:7" x14ac:dyDescent="0.25">
      <c r="G1048092" s="2"/>
    </row>
    <row r="1048093" spans="7:7" x14ac:dyDescent="0.25">
      <c r="G1048093" s="2"/>
    </row>
    <row r="1048094" spans="7:7" x14ac:dyDescent="0.25">
      <c r="G1048094" s="2"/>
    </row>
    <row r="1048095" spans="7:7" x14ac:dyDescent="0.25">
      <c r="G1048095" s="2"/>
    </row>
    <row r="1048096" spans="7:7" x14ac:dyDescent="0.25">
      <c r="G1048096" s="2"/>
    </row>
    <row r="1048097" spans="7:7" x14ac:dyDescent="0.25">
      <c r="G1048097" s="2"/>
    </row>
    <row r="1048098" spans="7:7" x14ac:dyDescent="0.25">
      <c r="G1048098" s="2"/>
    </row>
    <row r="1048099" spans="7:7" x14ac:dyDescent="0.25">
      <c r="G1048099" s="2"/>
    </row>
    <row r="1048100" spans="7:7" x14ac:dyDescent="0.25">
      <c r="G1048100" s="2"/>
    </row>
    <row r="1048101" spans="7:7" x14ac:dyDescent="0.25">
      <c r="G1048101" s="2"/>
    </row>
    <row r="1048102" spans="7:7" x14ac:dyDescent="0.25">
      <c r="G1048102" s="2"/>
    </row>
    <row r="1048103" spans="7:7" x14ac:dyDescent="0.25">
      <c r="G1048103" s="2"/>
    </row>
    <row r="1048104" spans="7:7" x14ac:dyDescent="0.25">
      <c r="G1048104" s="2"/>
    </row>
    <row r="1048105" spans="7:7" x14ac:dyDescent="0.25">
      <c r="G1048105" s="2"/>
    </row>
    <row r="1048106" spans="7:7" x14ac:dyDescent="0.25">
      <c r="G1048106" s="2"/>
    </row>
    <row r="1048107" spans="7:7" x14ac:dyDescent="0.25">
      <c r="G1048107" s="2"/>
    </row>
    <row r="1048108" spans="7:7" x14ac:dyDescent="0.25">
      <c r="G1048108" s="2"/>
    </row>
    <row r="1048109" spans="7:7" x14ac:dyDescent="0.25">
      <c r="G1048109" s="2"/>
    </row>
    <row r="1048110" spans="7:7" x14ac:dyDescent="0.25">
      <c r="G1048110" s="2"/>
    </row>
    <row r="1048111" spans="7:7" x14ac:dyDescent="0.25">
      <c r="G1048111" s="2"/>
    </row>
    <row r="1048112" spans="7:7" x14ac:dyDescent="0.25">
      <c r="G1048112" s="2"/>
    </row>
    <row r="1048113" spans="7:7" x14ac:dyDescent="0.25">
      <c r="G1048113" s="2"/>
    </row>
    <row r="1048114" spans="7:7" x14ac:dyDescent="0.25">
      <c r="G1048114" s="2"/>
    </row>
    <row r="1048115" spans="7:7" x14ac:dyDescent="0.25">
      <c r="G1048115" s="2"/>
    </row>
    <row r="1048116" spans="7:7" x14ac:dyDescent="0.25">
      <c r="G1048116" s="2"/>
    </row>
    <row r="1048117" spans="7:7" x14ac:dyDescent="0.25">
      <c r="G1048117" s="2"/>
    </row>
    <row r="1048118" spans="7:7" x14ac:dyDescent="0.25">
      <c r="G1048118" s="2"/>
    </row>
    <row r="1048119" spans="7:7" x14ac:dyDescent="0.25">
      <c r="G1048119" s="2"/>
    </row>
    <row r="1048120" spans="7:7" x14ac:dyDescent="0.25">
      <c r="G1048120" s="2"/>
    </row>
    <row r="1048121" spans="7:7" x14ac:dyDescent="0.25">
      <c r="G1048121" s="2"/>
    </row>
    <row r="1048122" spans="7:7" x14ac:dyDescent="0.25">
      <c r="G1048122" s="2"/>
    </row>
    <row r="1048123" spans="7:7" x14ac:dyDescent="0.25">
      <c r="G1048123" s="2"/>
    </row>
    <row r="1048124" spans="7:7" x14ac:dyDescent="0.25">
      <c r="G1048124" s="2"/>
    </row>
    <row r="1048125" spans="7:7" x14ac:dyDescent="0.25">
      <c r="G1048125" s="2"/>
    </row>
    <row r="1048126" spans="7:7" x14ac:dyDescent="0.25">
      <c r="G1048126" s="2"/>
    </row>
    <row r="1048127" spans="7:7" x14ac:dyDescent="0.25">
      <c r="G1048127" s="2"/>
    </row>
    <row r="1048128" spans="7:7" x14ac:dyDescent="0.25">
      <c r="G1048128" s="2"/>
    </row>
    <row r="1048129" spans="7:7" x14ac:dyDescent="0.25">
      <c r="G1048129" s="2"/>
    </row>
    <row r="1048130" spans="7:7" x14ac:dyDescent="0.25">
      <c r="G1048130" s="2"/>
    </row>
    <row r="1048131" spans="7:7" x14ac:dyDescent="0.25">
      <c r="G1048131" s="2"/>
    </row>
    <row r="1048132" spans="7:7" x14ac:dyDescent="0.25">
      <c r="G1048132" s="2"/>
    </row>
    <row r="1048133" spans="7:7" x14ac:dyDescent="0.25">
      <c r="G1048133" s="2"/>
    </row>
    <row r="1048134" spans="7:7" x14ac:dyDescent="0.25">
      <c r="G1048134" s="2"/>
    </row>
    <row r="1048135" spans="7:7" x14ac:dyDescent="0.25">
      <c r="G1048135" s="2"/>
    </row>
    <row r="1048136" spans="7:7" x14ac:dyDescent="0.25">
      <c r="G1048136" s="2"/>
    </row>
    <row r="1048137" spans="7:7" x14ac:dyDescent="0.25">
      <c r="G1048137" s="2"/>
    </row>
    <row r="1048138" spans="7:7" x14ac:dyDescent="0.25">
      <c r="G1048138" s="2"/>
    </row>
    <row r="1048139" spans="7:7" x14ac:dyDescent="0.25">
      <c r="G1048139" s="2"/>
    </row>
    <row r="1048140" spans="7:7" x14ac:dyDescent="0.25">
      <c r="G1048140" s="2"/>
    </row>
    <row r="1048141" spans="7:7" x14ac:dyDescent="0.25">
      <c r="G1048141" s="2"/>
    </row>
    <row r="1048142" spans="7:7" x14ac:dyDescent="0.25">
      <c r="G1048142" s="2"/>
    </row>
    <row r="1048143" spans="7:7" x14ac:dyDescent="0.25">
      <c r="G1048143" s="2"/>
    </row>
    <row r="1048144" spans="7:7" x14ac:dyDescent="0.25">
      <c r="G1048144" s="2"/>
    </row>
    <row r="1048145" spans="7:7" x14ac:dyDescent="0.25">
      <c r="G1048145" s="2"/>
    </row>
    <row r="1048146" spans="7:7" x14ac:dyDescent="0.25">
      <c r="G1048146" s="2"/>
    </row>
    <row r="1048147" spans="7:7" x14ac:dyDescent="0.25">
      <c r="G1048147" s="2"/>
    </row>
    <row r="1048148" spans="7:7" x14ac:dyDescent="0.25">
      <c r="G1048148" s="2"/>
    </row>
    <row r="1048149" spans="7:7" x14ac:dyDescent="0.25">
      <c r="G1048149" s="2"/>
    </row>
    <row r="1048150" spans="7:7" x14ac:dyDescent="0.25">
      <c r="G1048150" s="2"/>
    </row>
    <row r="1048151" spans="7:7" x14ac:dyDescent="0.25">
      <c r="G1048151" s="2"/>
    </row>
    <row r="1048152" spans="7:7" x14ac:dyDescent="0.25">
      <c r="G1048152" s="2"/>
    </row>
    <row r="1048153" spans="7:7" x14ac:dyDescent="0.25">
      <c r="G1048153" s="2"/>
    </row>
    <row r="1048154" spans="7:7" x14ac:dyDescent="0.25">
      <c r="G1048154" s="2"/>
    </row>
    <row r="1048155" spans="7:7" x14ac:dyDescent="0.25">
      <c r="G1048155" s="2"/>
    </row>
    <row r="1048156" spans="7:7" x14ac:dyDescent="0.25">
      <c r="G1048156" s="2"/>
    </row>
    <row r="1048157" spans="7:7" x14ac:dyDescent="0.25">
      <c r="G1048157" s="2"/>
    </row>
    <row r="1048158" spans="7:7" x14ac:dyDescent="0.25">
      <c r="G1048158" s="2"/>
    </row>
    <row r="1048159" spans="7:7" x14ac:dyDescent="0.25">
      <c r="G1048159" s="2"/>
    </row>
    <row r="1048160" spans="7:7" x14ac:dyDescent="0.25">
      <c r="G1048160" s="2"/>
    </row>
    <row r="1048161" spans="7:7" x14ac:dyDescent="0.25">
      <c r="G1048161" s="2"/>
    </row>
    <row r="1048162" spans="7:7" x14ac:dyDescent="0.25">
      <c r="G1048162" s="2"/>
    </row>
    <row r="1048163" spans="7:7" x14ac:dyDescent="0.25">
      <c r="G1048163" s="2"/>
    </row>
    <row r="1048164" spans="7:7" x14ac:dyDescent="0.25">
      <c r="G1048164" s="2"/>
    </row>
    <row r="1048165" spans="7:7" x14ac:dyDescent="0.25">
      <c r="G1048165" s="2"/>
    </row>
    <row r="1048166" spans="7:7" x14ac:dyDescent="0.25">
      <c r="G1048166" s="2"/>
    </row>
    <row r="1048167" spans="7:7" x14ac:dyDescent="0.25">
      <c r="G1048167" s="2"/>
    </row>
    <row r="1048168" spans="7:7" x14ac:dyDescent="0.25">
      <c r="G1048168" s="2"/>
    </row>
    <row r="1048169" spans="7:7" x14ac:dyDescent="0.25">
      <c r="G1048169" s="2"/>
    </row>
    <row r="1048170" spans="7:7" x14ac:dyDescent="0.25">
      <c r="G1048170" s="2"/>
    </row>
    <row r="1048171" spans="7:7" x14ac:dyDescent="0.25">
      <c r="G1048171" s="2"/>
    </row>
    <row r="1048172" spans="7:7" x14ac:dyDescent="0.25">
      <c r="G1048172" s="2"/>
    </row>
    <row r="1048173" spans="7:7" x14ac:dyDescent="0.25">
      <c r="G1048173" s="2"/>
    </row>
    <row r="1048174" spans="7:7" x14ac:dyDescent="0.25">
      <c r="G1048174" s="2"/>
    </row>
    <row r="1048175" spans="7:7" x14ac:dyDescent="0.25">
      <c r="G1048175" s="2"/>
    </row>
    <row r="1048176" spans="7:7" x14ac:dyDescent="0.25">
      <c r="G1048176" s="2"/>
    </row>
    <row r="1048177" spans="7:7" x14ac:dyDescent="0.25">
      <c r="G1048177" s="2"/>
    </row>
    <row r="1048178" spans="7:7" x14ac:dyDescent="0.25">
      <c r="G1048178" s="2"/>
    </row>
    <row r="1048179" spans="7:7" x14ac:dyDescent="0.25">
      <c r="G1048179" s="2"/>
    </row>
    <row r="1048180" spans="7:7" x14ac:dyDescent="0.25">
      <c r="G1048180" s="2"/>
    </row>
    <row r="1048181" spans="7:7" x14ac:dyDescent="0.25">
      <c r="G1048181" s="2"/>
    </row>
    <row r="1048182" spans="7:7" x14ac:dyDescent="0.25">
      <c r="G1048182" s="2"/>
    </row>
    <row r="1048183" spans="7:7" x14ac:dyDescent="0.25">
      <c r="G1048183" s="2"/>
    </row>
    <row r="1048184" spans="7:7" x14ac:dyDescent="0.25">
      <c r="G1048184" s="2"/>
    </row>
    <row r="1048185" spans="7:7" x14ac:dyDescent="0.25">
      <c r="G1048185" s="2"/>
    </row>
    <row r="1048186" spans="7:7" x14ac:dyDescent="0.25">
      <c r="G1048186" s="2"/>
    </row>
    <row r="1048187" spans="7:7" x14ac:dyDescent="0.25">
      <c r="G1048187" s="2"/>
    </row>
    <row r="1048188" spans="7:7" x14ac:dyDescent="0.25">
      <c r="G1048188" s="2"/>
    </row>
    <row r="1048189" spans="7:7" x14ac:dyDescent="0.25">
      <c r="G1048189" s="2"/>
    </row>
    <row r="1048190" spans="7:7" x14ac:dyDescent="0.25">
      <c r="G1048190" s="2"/>
    </row>
    <row r="1048191" spans="7:7" x14ac:dyDescent="0.25">
      <c r="G1048191" s="2"/>
    </row>
    <row r="1048192" spans="7:7" x14ac:dyDescent="0.25">
      <c r="G1048192" s="2"/>
    </row>
    <row r="1048193" spans="7:7" x14ac:dyDescent="0.25">
      <c r="G1048193" s="2"/>
    </row>
    <row r="1048194" spans="7:7" x14ac:dyDescent="0.25">
      <c r="G1048194" s="2"/>
    </row>
    <row r="1048195" spans="7:7" x14ac:dyDescent="0.25">
      <c r="G1048195" s="2"/>
    </row>
    <row r="1048196" spans="7:7" x14ac:dyDescent="0.25">
      <c r="G1048196" s="2"/>
    </row>
    <row r="1048197" spans="7:7" x14ac:dyDescent="0.25">
      <c r="G1048197" s="2"/>
    </row>
    <row r="1048198" spans="7:7" x14ac:dyDescent="0.25">
      <c r="G1048198" s="2"/>
    </row>
    <row r="1048199" spans="7:7" x14ac:dyDescent="0.25">
      <c r="G1048199" s="2"/>
    </row>
    <row r="1048200" spans="7:7" x14ac:dyDescent="0.25">
      <c r="G1048200" s="2"/>
    </row>
    <row r="1048201" spans="7:7" x14ac:dyDescent="0.25">
      <c r="G1048201" s="2"/>
    </row>
    <row r="1048202" spans="7:7" x14ac:dyDescent="0.25">
      <c r="G1048202" s="2"/>
    </row>
    <row r="1048203" spans="7:7" x14ac:dyDescent="0.25">
      <c r="G1048203" s="2"/>
    </row>
    <row r="1048204" spans="7:7" x14ac:dyDescent="0.25">
      <c r="G1048204" s="2"/>
    </row>
    <row r="1048205" spans="7:7" x14ac:dyDescent="0.25">
      <c r="G1048205" s="2"/>
    </row>
    <row r="1048206" spans="7:7" x14ac:dyDescent="0.25">
      <c r="G1048206" s="2"/>
    </row>
    <row r="1048207" spans="7:7" x14ac:dyDescent="0.25">
      <c r="G1048207" s="2"/>
    </row>
    <row r="1048208" spans="7:7" x14ac:dyDescent="0.25">
      <c r="G1048208" s="2"/>
    </row>
    <row r="1048209" spans="7:7" x14ac:dyDescent="0.25">
      <c r="G1048209" s="2"/>
    </row>
    <row r="1048210" spans="7:7" x14ac:dyDescent="0.25">
      <c r="G1048210" s="2"/>
    </row>
    <row r="1048211" spans="7:7" x14ac:dyDescent="0.25">
      <c r="G1048211" s="2"/>
    </row>
    <row r="1048212" spans="7:7" x14ac:dyDescent="0.25">
      <c r="G1048212" s="2"/>
    </row>
    <row r="1048213" spans="7:7" x14ac:dyDescent="0.25">
      <c r="G1048213" s="2"/>
    </row>
    <row r="1048214" spans="7:7" x14ac:dyDescent="0.25">
      <c r="G1048214" s="2"/>
    </row>
    <row r="1048215" spans="7:7" x14ac:dyDescent="0.25">
      <c r="G1048215" s="2"/>
    </row>
    <row r="1048216" spans="7:7" x14ac:dyDescent="0.25">
      <c r="G1048216" s="2"/>
    </row>
    <row r="1048217" spans="7:7" x14ac:dyDescent="0.25">
      <c r="G1048217" s="2"/>
    </row>
    <row r="1048218" spans="7:7" x14ac:dyDescent="0.25">
      <c r="G1048218" s="2"/>
    </row>
    <row r="1048219" spans="7:7" x14ac:dyDescent="0.25">
      <c r="G1048219" s="2"/>
    </row>
    <row r="1048220" spans="7:7" x14ac:dyDescent="0.25">
      <c r="G1048220" s="2"/>
    </row>
    <row r="1048221" spans="7:7" x14ac:dyDescent="0.25">
      <c r="G1048221" s="2"/>
    </row>
    <row r="1048222" spans="7:7" x14ac:dyDescent="0.25">
      <c r="G1048222" s="2"/>
    </row>
    <row r="1048223" spans="7:7" x14ac:dyDescent="0.25">
      <c r="G1048223" s="2"/>
    </row>
    <row r="1048224" spans="7:7" x14ac:dyDescent="0.25">
      <c r="G1048224" s="2"/>
    </row>
    <row r="1048225" spans="7:7" x14ac:dyDescent="0.25">
      <c r="G1048225" s="2"/>
    </row>
    <row r="1048226" spans="7:7" x14ac:dyDescent="0.25">
      <c r="G1048226" s="2"/>
    </row>
    <row r="1048227" spans="7:7" x14ac:dyDescent="0.25">
      <c r="G1048227" s="2"/>
    </row>
    <row r="1048228" spans="7:7" x14ac:dyDescent="0.25">
      <c r="G1048228" s="2"/>
    </row>
    <row r="1048229" spans="7:7" x14ac:dyDescent="0.25">
      <c r="G1048229" s="2"/>
    </row>
    <row r="1048230" spans="7:7" x14ac:dyDescent="0.25">
      <c r="G1048230" s="2"/>
    </row>
    <row r="1048231" spans="7:7" x14ac:dyDescent="0.25">
      <c r="G1048231" s="2"/>
    </row>
    <row r="1048232" spans="7:7" x14ac:dyDescent="0.25">
      <c r="G1048232" s="2"/>
    </row>
    <row r="1048233" spans="7:7" x14ac:dyDescent="0.25">
      <c r="G1048233" s="2"/>
    </row>
    <row r="1048234" spans="7:7" x14ac:dyDescent="0.25">
      <c r="G1048234" s="2"/>
    </row>
    <row r="1048235" spans="7:7" x14ac:dyDescent="0.25">
      <c r="G1048235" s="2"/>
    </row>
    <row r="1048236" spans="7:7" x14ac:dyDescent="0.25">
      <c r="G1048236" s="2"/>
    </row>
    <row r="1048237" spans="7:7" x14ac:dyDescent="0.25">
      <c r="G1048237" s="2"/>
    </row>
    <row r="1048238" spans="7:7" x14ac:dyDescent="0.25">
      <c r="G1048238" s="2"/>
    </row>
    <row r="1048239" spans="7:7" x14ac:dyDescent="0.25">
      <c r="G1048239" s="2"/>
    </row>
    <row r="1048240" spans="7:7" x14ac:dyDescent="0.25">
      <c r="G1048240" s="2"/>
    </row>
    <row r="1048241" spans="7:7" x14ac:dyDescent="0.25">
      <c r="G1048241" s="2"/>
    </row>
    <row r="1048242" spans="7:7" x14ac:dyDescent="0.25">
      <c r="G1048242" s="2"/>
    </row>
    <row r="1048243" spans="7:7" x14ac:dyDescent="0.25">
      <c r="G1048243" s="2"/>
    </row>
    <row r="1048244" spans="7:7" x14ac:dyDescent="0.25">
      <c r="G1048244" s="2"/>
    </row>
    <row r="1048245" spans="7:7" x14ac:dyDescent="0.25">
      <c r="G1048245" s="2"/>
    </row>
    <row r="1048246" spans="7:7" x14ac:dyDescent="0.25">
      <c r="G1048246" s="2"/>
    </row>
    <row r="1048247" spans="7:7" x14ac:dyDescent="0.25">
      <c r="G1048247" s="2"/>
    </row>
    <row r="1048248" spans="7:7" x14ac:dyDescent="0.25">
      <c r="G1048248" s="2"/>
    </row>
    <row r="1048249" spans="7:7" x14ac:dyDescent="0.25">
      <c r="G1048249" s="2"/>
    </row>
    <row r="1048250" spans="7:7" x14ac:dyDescent="0.25">
      <c r="G1048250" s="2"/>
    </row>
    <row r="1048251" spans="7:7" x14ac:dyDescent="0.25">
      <c r="G1048251" s="2"/>
    </row>
    <row r="1048252" spans="7:7" x14ac:dyDescent="0.25">
      <c r="G1048252" s="2"/>
    </row>
    <row r="1048253" spans="7:7" x14ac:dyDescent="0.25">
      <c r="G1048253" s="2"/>
    </row>
    <row r="1048254" spans="7:7" x14ac:dyDescent="0.25">
      <c r="G1048254" s="2"/>
    </row>
    <row r="1048255" spans="7:7" x14ac:dyDescent="0.25">
      <c r="G1048255" s="2"/>
    </row>
    <row r="1048256" spans="7:7" x14ac:dyDescent="0.25">
      <c r="G1048256" s="2"/>
    </row>
    <row r="1048257" spans="7:7" x14ac:dyDescent="0.25">
      <c r="G1048257" s="2"/>
    </row>
    <row r="1048258" spans="7:7" x14ac:dyDescent="0.25">
      <c r="G1048258" s="2"/>
    </row>
    <row r="1048259" spans="7:7" x14ac:dyDescent="0.25">
      <c r="G1048259" s="2"/>
    </row>
    <row r="1048260" spans="7:7" x14ac:dyDescent="0.25">
      <c r="G1048260" s="2"/>
    </row>
    <row r="1048261" spans="7:7" x14ac:dyDescent="0.25">
      <c r="G1048261" s="2"/>
    </row>
    <row r="1048262" spans="7:7" x14ac:dyDescent="0.25">
      <c r="G1048262" s="2"/>
    </row>
    <row r="1048263" spans="7:7" x14ac:dyDescent="0.25">
      <c r="G1048263" s="2"/>
    </row>
    <row r="1048264" spans="7:7" x14ac:dyDescent="0.25">
      <c r="G1048264" s="2"/>
    </row>
    <row r="1048265" spans="7:7" x14ac:dyDescent="0.25">
      <c r="G1048265" s="2"/>
    </row>
    <row r="1048266" spans="7:7" x14ac:dyDescent="0.25">
      <c r="G1048266" s="2"/>
    </row>
    <row r="1048267" spans="7:7" x14ac:dyDescent="0.25">
      <c r="G1048267" s="2"/>
    </row>
    <row r="1048268" spans="7:7" x14ac:dyDescent="0.25">
      <c r="G1048268" s="2"/>
    </row>
    <row r="1048269" spans="7:7" x14ac:dyDescent="0.25">
      <c r="G1048269" s="2"/>
    </row>
    <row r="1048270" spans="7:7" x14ac:dyDescent="0.25">
      <c r="G1048270" s="2"/>
    </row>
    <row r="1048271" spans="7:7" x14ac:dyDescent="0.25">
      <c r="G1048271" s="2"/>
    </row>
    <row r="1048272" spans="7:7" x14ac:dyDescent="0.25">
      <c r="G1048272" s="2"/>
    </row>
    <row r="1048273" spans="7:7" x14ac:dyDescent="0.25">
      <c r="G1048273" s="2"/>
    </row>
    <row r="1048274" spans="7:7" x14ac:dyDescent="0.25">
      <c r="G1048274" s="2"/>
    </row>
    <row r="1048275" spans="7:7" x14ac:dyDescent="0.25">
      <c r="G1048275" s="2"/>
    </row>
    <row r="1048276" spans="7:7" x14ac:dyDescent="0.25">
      <c r="G1048276" s="2"/>
    </row>
    <row r="1048277" spans="7:7" x14ac:dyDescent="0.25">
      <c r="G1048277" s="2"/>
    </row>
    <row r="1048278" spans="7:7" x14ac:dyDescent="0.25">
      <c r="G1048278" s="2"/>
    </row>
    <row r="1048279" spans="7:7" x14ac:dyDescent="0.25">
      <c r="G1048279" s="2"/>
    </row>
    <row r="1048280" spans="7:7" x14ac:dyDescent="0.25">
      <c r="G1048280" s="2"/>
    </row>
    <row r="1048281" spans="7:7" x14ac:dyDescent="0.25">
      <c r="G1048281" s="2"/>
    </row>
    <row r="1048282" spans="7:7" x14ac:dyDescent="0.25">
      <c r="G1048282" s="2"/>
    </row>
    <row r="1048283" spans="7:7" x14ac:dyDescent="0.25">
      <c r="G1048283" s="2"/>
    </row>
    <row r="1048284" spans="7:7" x14ac:dyDescent="0.25">
      <c r="G1048284" s="2"/>
    </row>
    <row r="1048285" spans="7:7" x14ac:dyDescent="0.25">
      <c r="G1048285" s="2"/>
    </row>
    <row r="1048286" spans="7:7" x14ac:dyDescent="0.25">
      <c r="G1048286" s="2"/>
    </row>
    <row r="1048287" spans="7:7" x14ac:dyDescent="0.25">
      <c r="G1048287" s="2"/>
    </row>
    <row r="1048288" spans="7:7" x14ac:dyDescent="0.25">
      <c r="G1048288" s="2"/>
    </row>
    <row r="1048289" spans="7:7" x14ac:dyDescent="0.25">
      <c r="G1048289" s="2"/>
    </row>
    <row r="1048290" spans="7:7" x14ac:dyDescent="0.25">
      <c r="G1048290" s="2"/>
    </row>
    <row r="1048291" spans="7:7" x14ac:dyDescent="0.25">
      <c r="G1048291" s="2"/>
    </row>
    <row r="1048292" spans="7:7" x14ac:dyDescent="0.25">
      <c r="G1048292" s="2"/>
    </row>
    <row r="1048293" spans="7:7" x14ac:dyDescent="0.25">
      <c r="G1048293" s="2"/>
    </row>
    <row r="1048294" spans="7:7" x14ac:dyDescent="0.25">
      <c r="G1048294" s="2"/>
    </row>
    <row r="1048295" spans="7:7" x14ac:dyDescent="0.25">
      <c r="G1048295" s="2"/>
    </row>
    <row r="1048296" spans="7:7" x14ac:dyDescent="0.25">
      <c r="G1048296" s="2"/>
    </row>
    <row r="1048297" spans="7:7" x14ac:dyDescent="0.25">
      <c r="G1048297" s="2"/>
    </row>
    <row r="1048298" spans="7:7" x14ac:dyDescent="0.25">
      <c r="G1048298" s="2"/>
    </row>
    <row r="1048299" spans="7:7" x14ac:dyDescent="0.25">
      <c r="G1048299" s="2"/>
    </row>
    <row r="1048300" spans="7:7" x14ac:dyDescent="0.25">
      <c r="G1048300" s="2"/>
    </row>
    <row r="1048301" spans="7:7" x14ac:dyDescent="0.25">
      <c r="G1048301" s="2"/>
    </row>
    <row r="1048302" spans="7:7" x14ac:dyDescent="0.25">
      <c r="G1048302" s="2"/>
    </row>
    <row r="1048303" spans="7:7" x14ac:dyDescent="0.25">
      <c r="G1048303" s="2"/>
    </row>
    <row r="1048304" spans="7:7" x14ac:dyDescent="0.25">
      <c r="G1048304" s="2"/>
    </row>
    <row r="1048305" spans="7:7" x14ac:dyDescent="0.25">
      <c r="G1048305" s="2"/>
    </row>
    <row r="1048306" spans="7:7" x14ac:dyDescent="0.25">
      <c r="G1048306" s="2"/>
    </row>
    <row r="1048307" spans="7:7" x14ac:dyDescent="0.25">
      <c r="G1048307" s="2"/>
    </row>
    <row r="1048308" spans="7:7" x14ac:dyDescent="0.25">
      <c r="G1048308" s="2"/>
    </row>
    <row r="1048309" spans="7:7" x14ac:dyDescent="0.25">
      <c r="G1048309" s="2"/>
    </row>
    <row r="1048310" spans="7:7" x14ac:dyDescent="0.25">
      <c r="G1048310" s="2"/>
    </row>
    <row r="1048311" spans="7:7" x14ac:dyDescent="0.25">
      <c r="G1048311" s="2"/>
    </row>
    <row r="1048312" spans="7:7" x14ac:dyDescent="0.25">
      <c r="G1048312" s="2"/>
    </row>
    <row r="1048313" spans="7:7" x14ac:dyDescent="0.25">
      <c r="G1048313" s="2"/>
    </row>
    <row r="1048314" spans="7:7" x14ac:dyDescent="0.25">
      <c r="G1048314" s="2"/>
    </row>
    <row r="1048315" spans="7:7" x14ac:dyDescent="0.25">
      <c r="G1048315" s="2"/>
    </row>
    <row r="1048316" spans="7:7" x14ac:dyDescent="0.25">
      <c r="G1048316" s="2"/>
    </row>
    <row r="1048317" spans="7:7" x14ac:dyDescent="0.25">
      <c r="G1048317" s="2"/>
    </row>
    <row r="1048318" spans="7:7" x14ac:dyDescent="0.25">
      <c r="G1048318" s="2"/>
    </row>
    <row r="1048319" spans="7:7" x14ac:dyDescent="0.25">
      <c r="G1048319" s="2"/>
    </row>
    <row r="1048320" spans="7:7" x14ac:dyDescent="0.25">
      <c r="G1048320" s="2"/>
    </row>
    <row r="1048321" spans="7:7" x14ac:dyDescent="0.25">
      <c r="G1048321" s="2"/>
    </row>
    <row r="1048322" spans="7:7" x14ac:dyDescent="0.25">
      <c r="G1048322" s="2"/>
    </row>
    <row r="1048323" spans="7:7" x14ac:dyDescent="0.25">
      <c r="G1048323" s="2"/>
    </row>
    <row r="1048324" spans="7:7" x14ac:dyDescent="0.25">
      <c r="G1048324" s="2"/>
    </row>
    <row r="1048325" spans="7:7" x14ac:dyDescent="0.25">
      <c r="G1048325" s="2"/>
    </row>
    <row r="1048326" spans="7:7" x14ac:dyDescent="0.25">
      <c r="G1048326" s="2"/>
    </row>
    <row r="1048327" spans="7:7" x14ac:dyDescent="0.25">
      <c r="G1048327" s="2"/>
    </row>
    <row r="1048328" spans="7:7" x14ac:dyDescent="0.25">
      <c r="G1048328" s="2"/>
    </row>
    <row r="1048329" spans="7:7" x14ac:dyDescent="0.25">
      <c r="G1048329" s="2"/>
    </row>
    <row r="1048330" spans="7:7" x14ac:dyDescent="0.25">
      <c r="G1048330" s="2"/>
    </row>
    <row r="1048331" spans="7:7" x14ac:dyDescent="0.25">
      <c r="G1048331" s="2"/>
    </row>
    <row r="1048332" spans="7:7" x14ac:dyDescent="0.25">
      <c r="G1048332" s="2"/>
    </row>
    <row r="1048333" spans="7:7" x14ac:dyDescent="0.25">
      <c r="G1048333" s="2"/>
    </row>
    <row r="1048334" spans="7:7" x14ac:dyDescent="0.25">
      <c r="G1048334" s="2"/>
    </row>
    <row r="1048335" spans="7:7" x14ac:dyDescent="0.25">
      <c r="G1048335" s="2"/>
    </row>
    <row r="1048336" spans="7:7" x14ac:dyDescent="0.25">
      <c r="G1048336" s="2"/>
    </row>
    <row r="1048337" spans="7:7" x14ac:dyDescent="0.25">
      <c r="G1048337" s="2"/>
    </row>
    <row r="1048338" spans="7:7" x14ac:dyDescent="0.25">
      <c r="G1048338" s="2"/>
    </row>
    <row r="1048339" spans="7:7" x14ac:dyDescent="0.25">
      <c r="G1048339" s="2"/>
    </row>
    <row r="1048340" spans="7:7" x14ac:dyDescent="0.25">
      <c r="G1048340" s="2"/>
    </row>
    <row r="1048341" spans="7:7" x14ac:dyDescent="0.25">
      <c r="G1048341" s="2"/>
    </row>
    <row r="1048342" spans="7:7" x14ac:dyDescent="0.25">
      <c r="G1048342" s="2"/>
    </row>
    <row r="1048343" spans="7:7" x14ac:dyDescent="0.25">
      <c r="G1048343" s="2"/>
    </row>
    <row r="1048344" spans="7:7" x14ac:dyDescent="0.25">
      <c r="G1048344" s="2"/>
    </row>
    <row r="1048345" spans="7:7" x14ac:dyDescent="0.25">
      <c r="G1048345" s="2"/>
    </row>
    <row r="1048346" spans="7:7" x14ac:dyDescent="0.25">
      <c r="G1048346" s="2"/>
    </row>
    <row r="1048347" spans="7:7" x14ac:dyDescent="0.25">
      <c r="G1048347" s="2"/>
    </row>
    <row r="1048348" spans="7:7" x14ac:dyDescent="0.25">
      <c r="G1048348" s="2"/>
    </row>
    <row r="1048349" spans="7:7" x14ac:dyDescent="0.25">
      <c r="G1048349" s="2"/>
    </row>
    <row r="1048350" spans="7:7" x14ac:dyDescent="0.25">
      <c r="G1048350" s="2"/>
    </row>
    <row r="1048351" spans="7:7" x14ac:dyDescent="0.25">
      <c r="G1048351" s="2"/>
    </row>
    <row r="1048352" spans="7:7" x14ac:dyDescent="0.25">
      <c r="G1048352" s="2"/>
    </row>
    <row r="1048353" spans="7:7" x14ac:dyDescent="0.25">
      <c r="G1048353" s="2"/>
    </row>
    <row r="1048354" spans="7:7" x14ac:dyDescent="0.25">
      <c r="G1048354" s="2"/>
    </row>
    <row r="1048355" spans="7:7" x14ac:dyDescent="0.25">
      <c r="G1048355" s="2"/>
    </row>
    <row r="1048356" spans="7:7" x14ac:dyDescent="0.25">
      <c r="G1048356" s="2"/>
    </row>
    <row r="1048357" spans="7:7" x14ac:dyDescent="0.25">
      <c r="G1048357" s="2"/>
    </row>
    <row r="1048358" spans="7:7" x14ac:dyDescent="0.25">
      <c r="G1048358" s="2"/>
    </row>
    <row r="1048359" spans="7:7" x14ac:dyDescent="0.25">
      <c r="G1048359" s="2"/>
    </row>
    <row r="1048360" spans="7:7" x14ac:dyDescent="0.25">
      <c r="G1048360" s="2"/>
    </row>
    <row r="1048361" spans="7:7" x14ac:dyDescent="0.25">
      <c r="G1048361" s="2"/>
    </row>
    <row r="1048362" spans="7:7" x14ac:dyDescent="0.25">
      <c r="G1048362" s="2"/>
    </row>
    <row r="1048363" spans="7:7" x14ac:dyDescent="0.25">
      <c r="G1048363" s="2"/>
    </row>
    <row r="1048364" spans="7:7" x14ac:dyDescent="0.25">
      <c r="G1048364" s="2"/>
    </row>
    <row r="1048365" spans="7:7" x14ac:dyDescent="0.25">
      <c r="G1048365" s="2"/>
    </row>
    <row r="1048366" spans="7:7" x14ac:dyDescent="0.25">
      <c r="G1048366" s="2"/>
    </row>
    <row r="1048367" spans="7:7" x14ac:dyDescent="0.25">
      <c r="G1048367" s="2"/>
    </row>
    <row r="1048368" spans="7:7" x14ac:dyDescent="0.25">
      <c r="G1048368" s="2"/>
    </row>
    <row r="1048369" spans="7:7" x14ac:dyDescent="0.25">
      <c r="G1048369" s="2"/>
    </row>
    <row r="1048370" spans="7:7" x14ac:dyDescent="0.25">
      <c r="G1048370" s="2"/>
    </row>
    <row r="1048371" spans="7:7" x14ac:dyDescent="0.25">
      <c r="G1048371" s="2"/>
    </row>
    <row r="1048372" spans="7:7" x14ac:dyDescent="0.25">
      <c r="G1048372" s="2"/>
    </row>
    <row r="1048373" spans="7:7" x14ac:dyDescent="0.25">
      <c r="G1048373" s="2"/>
    </row>
    <row r="1048374" spans="7:7" x14ac:dyDescent="0.25">
      <c r="G1048374" s="2"/>
    </row>
    <row r="1048375" spans="7:7" x14ac:dyDescent="0.25">
      <c r="G1048375" s="2"/>
    </row>
    <row r="1048376" spans="7:7" x14ac:dyDescent="0.25">
      <c r="G1048376" s="2"/>
    </row>
    <row r="1048377" spans="7:7" x14ac:dyDescent="0.25">
      <c r="G1048377" s="2"/>
    </row>
    <row r="1048378" spans="7:7" x14ac:dyDescent="0.25">
      <c r="G1048378" s="2"/>
    </row>
    <row r="1048379" spans="7:7" x14ac:dyDescent="0.25">
      <c r="G1048379" s="2"/>
    </row>
    <row r="1048380" spans="7:7" x14ac:dyDescent="0.25">
      <c r="G1048380" s="2"/>
    </row>
    <row r="1048381" spans="7:7" x14ac:dyDescent="0.25">
      <c r="G1048381" s="2"/>
    </row>
    <row r="1048382" spans="7:7" x14ac:dyDescent="0.25">
      <c r="G1048382" s="2"/>
    </row>
    <row r="1048383" spans="7:7" x14ac:dyDescent="0.25">
      <c r="G1048383" s="2"/>
    </row>
    <row r="1048384" spans="7:7" x14ac:dyDescent="0.25">
      <c r="G1048384" s="2"/>
    </row>
    <row r="1048385" spans="7:7" x14ac:dyDescent="0.25">
      <c r="G1048385" s="2"/>
    </row>
    <row r="1048386" spans="7:7" x14ac:dyDescent="0.25">
      <c r="G1048386" s="2"/>
    </row>
    <row r="1048387" spans="7:7" x14ac:dyDescent="0.25">
      <c r="G1048387" s="2"/>
    </row>
    <row r="1048388" spans="7:7" x14ac:dyDescent="0.25">
      <c r="G1048388" s="2"/>
    </row>
    <row r="1048389" spans="7:7" x14ac:dyDescent="0.25">
      <c r="G1048389" s="2"/>
    </row>
    <row r="1048390" spans="7:7" x14ac:dyDescent="0.25">
      <c r="G1048390" s="2"/>
    </row>
    <row r="1048391" spans="7:7" x14ac:dyDescent="0.25">
      <c r="G1048391" s="2"/>
    </row>
    <row r="1048392" spans="7:7" x14ac:dyDescent="0.25">
      <c r="G1048392" s="2"/>
    </row>
    <row r="1048393" spans="7:7" x14ac:dyDescent="0.25">
      <c r="G1048393" s="2"/>
    </row>
    <row r="1048394" spans="7:7" x14ac:dyDescent="0.25">
      <c r="G1048394" s="2"/>
    </row>
    <row r="1048395" spans="7:7" x14ac:dyDescent="0.25">
      <c r="G1048395" s="2"/>
    </row>
    <row r="1048396" spans="7:7" x14ac:dyDescent="0.25">
      <c r="G1048396" s="2"/>
    </row>
    <row r="1048397" spans="7:7" x14ac:dyDescent="0.25">
      <c r="G1048397" s="2"/>
    </row>
    <row r="1048398" spans="7:7" x14ac:dyDescent="0.25">
      <c r="G1048398" s="2"/>
    </row>
    <row r="1048399" spans="7:7" x14ac:dyDescent="0.25">
      <c r="G1048399" s="2"/>
    </row>
    <row r="1048400" spans="7:7" x14ac:dyDescent="0.25">
      <c r="G1048400" s="2"/>
    </row>
    <row r="1048401" spans="7:7" x14ac:dyDescent="0.25">
      <c r="G1048401" s="2"/>
    </row>
    <row r="1048402" spans="7:7" x14ac:dyDescent="0.25">
      <c r="G1048402" s="2"/>
    </row>
    <row r="1048403" spans="7:7" x14ac:dyDescent="0.25">
      <c r="G1048403" s="2"/>
    </row>
    <row r="1048404" spans="7:7" x14ac:dyDescent="0.25">
      <c r="G1048404" s="2"/>
    </row>
    <row r="1048405" spans="7:7" x14ac:dyDescent="0.25">
      <c r="G1048405" s="2"/>
    </row>
    <row r="1048406" spans="7:7" x14ac:dyDescent="0.25">
      <c r="G1048406" s="2"/>
    </row>
    <row r="1048407" spans="7:7" x14ac:dyDescent="0.25">
      <c r="G1048407" s="2"/>
    </row>
    <row r="1048408" spans="7:7" x14ac:dyDescent="0.25">
      <c r="G1048408" s="2"/>
    </row>
    <row r="1048409" spans="7:7" x14ac:dyDescent="0.25">
      <c r="G1048409" s="2"/>
    </row>
    <row r="1048410" spans="7:7" x14ac:dyDescent="0.25">
      <c r="G1048410" s="2"/>
    </row>
    <row r="1048411" spans="7:7" x14ac:dyDescent="0.25">
      <c r="G1048411" s="2"/>
    </row>
    <row r="1048412" spans="7:7" x14ac:dyDescent="0.25">
      <c r="G1048412" s="2"/>
    </row>
    <row r="1048413" spans="7:7" x14ac:dyDescent="0.25">
      <c r="G1048413" s="2"/>
    </row>
    <row r="1048414" spans="7:7" x14ac:dyDescent="0.25">
      <c r="G1048414" s="2"/>
    </row>
    <row r="1048415" spans="7:7" x14ac:dyDescent="0.25">
      <c r="G1048415" s="2"/>
    </row>
    <row r="1048416" spans="7:7" x14ac:dyDescent="0.25">
      <c r="G1048416" s="2"/>
    </row>
    <row r="1048417" spans="7:7" x14ac:dyDescent="0.25">
      <c r="G1048417" s="2"/>
    </row>
    <row r="1048418" spans="7:7" x14ac:dyDescent="0.25">
      <c r="G1048418" s="2"/>
    </row>
    <row r="1048419" spans="7:7" x14ac:dyDescent="0.25">
      <c r="G1048419" s="2"/>
    </row>
    <row r="1048420" spans="7:7" x14ac:dyDescent="0.25">
      <c r="G1048420" s="2"/>
    </row>
    <row r="1048421" spans="7:7" x14ac:dyDescent="0.25">
      <c r="G1048421" s="2"/>
    </row>
    <row r="1048422" spans="7:7" x14ac:dyDescent="0.25">
      <c r="G1048422" s="2"/>
    </row>
    <row r="1048423" spans="7:7" x14ac:dyDescent="0.25">
      <c r="G1048423" s="2"/>
    </row>
    <row r="1048424" spans="7:7" x14ac:dyDescent="0.25">
      <c r="G1048424" s="2"/>
    </row>
    <row r="1048425" spans="7:7" x14ac:dyDescent="0.25">
      <c r="G1048425" s="2"/>
    </row>
    <row r="1048426" spans="7:7" x14ac:dyDescent="0.25">
      <c r="G1048426" s="2"/>
    </row>
    <row r="1048427" spans="7:7" x14ac:dyDescent="0.25">
      <c r="G1048427" s="2"/>
    </row>
    <row r="1048428" spans="7:7" x14ac:dyDescent="0.25">
      <c r="G1048428" s="2"/>
    </row>
    <row r="1048429" spans="7:7" x14ac:dyDescent="0.25">
      <c r="G1048429" s="2"/>
    </row>
    <row r="1048430" spans="7:7" x14ac:dyDescent="0.25">
      <c r="G1048430" s="2"/>
    </row>
    <row r="1048431" spans="7:7" x14ac:dyDescent="0.25">
      <c r="G1048431" s="2"/>
    </row>
    <row r="1048432" spans="7:7" x14ac:dyDescent="0.25">
      <c r="G1048432" s="2"/>
    </row>
    <row r="1048433" spans="7:7" x14ac:dyDescent="0.25">
      <c r="G1048433" s="2"/>
    </row>
    <row r="1048434" spans="7:7" x14ac:dyDescent="0.25">
      <c r="G1048434" s="2"/>
    </row>
    <row r="1048435" spans="7:7" x14ac:dyDescent="0.25">
      <c r="G1048435" s="2"/>
    </row>
    <row r="1048436" spans="7:7" x14ac:dyDescent="0.25">
      <c r="G1048436" s="2"/>
    </row>
    <row r="1048437" spans="7:7" x14ac:dyDescent="0.25">
      <c r="G1048437" s="2"/>
    </row>
    <row r="1048438" spans="7:7" x14ac:dyDescent="0.25">
      <c r="G1048438" s="2"/>
    </row>
    <row r="1048439" spans="7:7" x14ac:dyDescent="0.25">
      <c r="G1048439" s="2"/>
    </row>
    <row r="1048440" spans="7:7" x14ac:dyDescent="0.25">
      <c r="G1048440" s="2"/>
    </row>
    <row r="1048441" spans="7:7" x14ac:dyDescent="0.25">
      <c r="G1048441" s="2"/>
    </row>
    <row r="1048442" spans="7:7" x14ac:dyDescent="0.25">
      <c r="G1048442" s="2"/>
    </row>
    <row r="1048443" spans="7:7" x14ac:dyDescent="0.25">
      <c r="G1048443" s="2"/>
    </row>
    <row r="1048444" spans="7:7" x14ac:dyDescent="0.25">
      <c r="G1048444" s="2"/>
    </row>
    <row r="1048445" spans="7:7" x14ac:dyDescent="0.25">
      <c r="G1048445" s="2"/>
    </row>
    <row r="1048446" spans="7:7" x14ac:dyDescent="0.25">
      <c r="G1048446" s="2"/>
    </row>
    <row r="1048447" spans="7:7" x14ac:dyDescent="0.25">
      <c r="G1048447" s="2"/>
    </row>
    <row r="1048448" spans="7:7" x14ac:dyDescent="0.25">
      <c r="G1048448" s="2"/>
    </row>
    <row r="1048449" spans="7:7" x14ac:dyDescent="0.25">
      <c r="G1048449" s="2"/>
    </row>
    <row r="1048450" spans="7:7" x14ac:dyDescent="0.25">
      <c r="G1048450" s="2"/>
    </row>
    <row r="1048451" spans="7:7" x14ac:dyDescent="0.25">
      <c r="G1048451" s="2"/>
    </row>
    <row r="1048452" spans="7:7" x14ac:dyDescent="0.25">
      <c r="G1048452" s="2"/>
    </row>
    <row r="1048453" spans="7:7" x14ac:dyDescent="0.25">
      <c r="G1048453" s="2"/>
    </row>
    <row r="1048454" spans="7:7" x14ac:dyDescent="0.25">
      <c r="G1048454" s="2"/>
    </row>
    <row r="1048455" spans="7:7" x14ac:dyDescent="0.25">
      <c r="G1048455" s="2"/>
    </row>
    <row r="1048456" spans="7:7" x14ac:dyDescent="0.25">
      <c r="G1048456" s="2"/>
    </row>
    <row r="1048457" spans="7:7" x14ac:dyDescent="0.25">
      <c r="G1048457" s="2"/>
    </row>
    <row r="1048458" spans="7:7" x14ac:dyDescent="0.25">
      <c r="G1048458" s="2"/>
    </row>
    <row r="1048459" spans="7:7" x14ac:dyDescent="0.25">
      <c r="G1048459" s="2"/>
    </row>
    <row r="1048460" spans="7:7" x14ac:dyDescent="0.25">
      <c r="G1048460" s="2"/>
    </row>
    <row r="1048461" spans="7:7" x14ac:dyDescent="0.25">
      <c r="G1048461" s="2"/>
    </row>
    <row r="1048462" spans="7:7" x14ac:dyDescent="0.25">
      <c r="G1048462" s="2"/>
    </row>
    <row r="1048463" spans="7:7" x14ac:dyDescent="0.25">
      <c r="G1048463" s="2"/>
    </row>
    <row r="1048464" spans="7:7" x14ac:dyDescent="0.25">
      <c r="G1048464" s="2"/>
    </row>
    <row r="1048465" spans="7:7" x14ac:dyDescent="0.25">
      <c r="G1048465" s="2"/>
    </row>
    <row r="1048466" spans="7:7" x14ac:dyDescent="0.25">
      <c r="G1048466" s="2"/>
    </row>
    <row r="1048467" spans="7:7" x14ac:dyDescent="0.25">
      <c r="G1048467" s="2"/>
    </row>
    <row r="1048468" spans="7:7" x14ac:dyDescent="0.25">
      <c r="G1048468" s="2"/>
    </row>
    <row r="1048469" spans="7:7" x14ac:dyDescent="0.25">
      <c r="G1048469" s="2"/>
    </row>
    <row r="1048470" spans="7:7" x14ac:dyDescent="0.25">
      <c r="G1048470" s="2"/>
    </row>
    <row r="1048471" spans="7:7" x14ac:dyDescent="0.25">
      <c r="G1048471" s="2"/>
    </row>
    <row r="1048472" spans="7:7" x14ac:dyDescent="0.25">
      <c r="G1048472" s="2"/>
    </row>
    <row r="1048473" spans="7:7" x14ac:dyDescent="0.25">
      <c r="G1048473" s="2"/>
    </row>
    <row r="1048474" spans="7:7" x14ac:dyDescent="0.25">
      <c r="G1048474" s="2"/>
    </row>
    <row r="1048475" spans="7:7" x14ac:dyDescent="0.25">
      <c r="G1048475" s="2"/>
    </row>
    <row r="1048476" spans="7:7" x14ac:dyDescent="0.25">
      <c r="G1048476" s="2"/>
    </row>
    <row r="1048477" spans="7:7" x14ac:dyDescent="0.25">
      <c r="G1048477" s="2"/>
    </row>
    <row r="1048478" spans="7:7" x14ac:dyDescent="0.25">
      <c r="G1048478" s="2"/>
    </row>
    <row r="1048479" spans="7:7" x14ac:dyDescent="0.25">
      <c r="G1048479" s="2"/>
    </row>
    <row r="1048480" spans="7:7" x14ac:dyDescent="0.25">
      <c r="G1048480" s="2"/>
    </row>
    <row r="1048481" spans="7:7" x14ac:dyDescent="0.25">
      <c r="G1048481" s="2"/>
    </row>
    <row r="1048482" spans="7:7" x14ac:dyDescent="0.25">
      <c r="G1048482" s="2"/>
    </row>
    <row r="1048483" spans="7:7" x14ac:dyDescent="0.25">
      <c r="G1048483" s="2"/>
    </row>
    <row r="1048484" spans="7:7" x14ac:dyDescent="0.25">
      <c r="G1048484" s="2"/>
    </row>
    <row r="1048485" spans="7:7" x14ac:dyDescent="0.25">
      <c r="G1048485" s="2"/>
    </row>
    <row r="1048486" spans="7:7" x14ac:dyDescent="0.25">
      <c r="G1048486" s="2"/>
    </row>
    <row r="1048487" spans="7:7" x14ac:dyDescent="0.25">
      <c r="G1048487" s="2"/>
    </row>
    <row r="1048488" spans="7:7" x14ac:dyDescent="0.25">
      <c r="G1048488" s="2"/>
    </row>
    <row r="1048489" spans="7:7" x14ac:dyDescent="0.25">
      <c r="G1048489" s="2"/>
    </row>
    <row r="1048490" spans="7:7" x14ac:dyDescent="0.25">
      <c r="G1048490" s="2"/>
    </row>
    <row r="1048491" spans="7:7" x14ac:dyDescent="0.25">
      <c r="G1048491" s="2"/>
    </row>
    <row r="1048492" spans="7:7" x14ac:dyDescent="0.25">
      <c r="G1048492" s="2"/>
    </row>
    <row r="1048493" spans="7:7" x14ac:dyDescent="0.25">
      <c r="G1048493" s="2"/>
    </row>
    <row r="1048494" spans="7:7" x14ac:dyDescent="0.25">
      <c r="G1048494" s="2"/>
    </row>
    <row r="1048495" spans="7:7" x14ac:dyDescent="0.25">
      <c r="G1048495" s="2"/>
    </row>
    <row r="1048496" spans="7:7" x14ac:dyDescent="0.25">
      <c r="G1048496" s="2"/>
    </row>
    <row r="1048497" spans="7:7" x14ac:dyDescent="0.25">
      <c r="G1048497" s="2"/>
    </row>
    <row r="1048498" spans="7:7" x14ac:dyDescent="0.25">
      <c r="G1048498" s="2"/>
    </row>
    <row r="1048499" spans="7:7" x14ac:dyDescent="0.25">
      <c r="G1048499" s="2"/>
    </row>
    <row r="1048500" spans="7:7" x14ac:dyDescent="0.25">
      <c r="G1048500" s="2"/>
    </row>
    <row r="1048501" spans="7:7" x14ac:dyDescent="0.25">
      <c r="G1048501" s="2"/>
    </row>
    <row r="1048502" spans="7:7" x14ac:dyDescent="0.25">
      <c r="G1048502" s="2"/>
    </row>
    <row r="1048503" spans="7:7" x14ac:dyDescent="0.25">
      <c r="G1048503" s="2"/>
    </row>
    <row r="1048504" spans="7:7" x14ac:dyDescent="0.25">
      <c r="G1048504" s="2"/>
    </row>
    <row r="1048505" spans="7:7" x14ac:dyDescent="0.25">
      <c r="G1048505" s="2"/>
    </row>
    <row r="1048506" spans="7:7" x14ac:dyDescent="0.25">
      <c r="G1048506" s="2"/>
    </row>
    <row r="1048507" spans="7:7" x14ac:dyDescent="0.25">
      <c r="G1048507" s="2"/>
    </row>
    <row r="1048508" spans="7:7" x14ac:dyDescent="0.25">
      <c r="G1048508" s="2"/>
    </row>
    <row r="1048509" spans="7:7" x14ac:dyDescent="0.25">
      <c r="G1048509" s="2"/>
    </row>
    <row r="1048510" spans="7:7" x14ac:dyDescent="0.25">
      <c r="G1048510" s="2"/>
    </row>
    <row r="1048511" spans="7:7" x14ac:dyDescent="0.25">
      <c r="G1048511" s="2"/>
    </row>
    <row r="1048512" spans="7:7" x14ac:dyDescent="0.25">
      <c r="G1048512" s="2"/>
    </row>
    <row r="1048513" spans="7:7" x14ac:dyDescent="0.25">
      <c r="G1048513" s="2"/>
    </row>
    <row r="1048514" spans="7:7" x14ac:dyDescent="0.25">
      <c r="G1048514" s="2"/>
    </row>
    <row r="1048515" spans="7:7" x14ac:dyDescent="0.25">
      <c r="G1048515" s="2"/>
    </row>
    <row r="1048516" spans="7:7" x14ac:dyDescent="0.25">
      <c r="G1048516" s="2"/>
    </row>
    <row r="1048517" spans="7:7" x14ac:dyDescent="0.25">
      <c r="G1048517" s="2"/>
    </row>
    <row r="1048518" spans="7:7" x14ac:dyDescent="0.25">
      <c r="G1048518" s="2"/>
    </row>
    <row r="1048519" spans="7:7" x14ac:dyDescent="0.25">
      <c r="G1048519" s="2"/>
    </row>
    <row r="1048520" spans="7:7" x14ac:dyDescent="0.25">
      <c r="G1048520" s="2"/>
    </row>
    <row r="1048521" spans="7:7" x14ac:dyDescent="0.25">
      <c r="G1048521" s="2"/>
    </row>
    <row r="1048522" spans="7:7" x14ac:dyDescent="0.25">
      <c r="G1048522" s="2"/>
    </row>
    <row r="1048523" spans="7:7" x14ac:dyDescent="0.25">
      <c r="G1048523" s="2"/>
    </row>
    <row r="1048524" spans="7:7" x14ac:dyDescent="0.25">
      <c r="G1048524" s="2"/>
    </row>
    <row r="1048525" spans="7:7" x14ac:dyDescent="0.25">
      <c r="G1048525" s="2"/>
    </row>
    <row r="1048526" spans="7:7" x14ac:dyDescent="0.25">
      <c r="G1048526" s="2"/>
    </row>
    <row r="1048527" spans="7:7" x14ac:dyDescent="0.25">
      <c r="G1048527" s="2"/>
    </row>
    <row r="1048528" spans="7:7" x14ac:dyDescent="0.25">
      <c r="G1048528" s="2"/>
    </row>
    <row r="1048529" spans="7:7" x14ac:dyDescent="0.25">
      <c r="G1048529" s="2"/>
    </row>
    <row r="1048530" spans="7:7" x14ac:dyDescent="0.25">
      <c r="G1048530" s="2"/>
    </row>
    <row r="1048531" spans="7:7" x14ac:dyDescent="0.25">
      <c r="G1048531" s="2"/>
    </row>
    <row r="1048532" spans="7:7" x14ac:dyDescent="0.25">
      <c r="G1048532" s="2"/>
    </row>
    <row r="1048533" spans="7:7" x14ac:dyDescent="0.25">
      <c r="G1048533" s="2"/>
    </row>
    <row r="1048534" spans="7:7" x14ac:dyDescent="0.25">
      <c r="G1048534" s="2"/>
    </row>
    <row r="1048535" spans="7:7" x14ac:dyDescent="0.25">
      <c r="G1048535" s="2"/>
    </row>
    <row r="1048536" spans="7:7" x14ac:dyDescent="0.25">
      <c r="G1048536" s="2"/>
    </row>
    <row r="1048537" spans="7:7" x14ac:dyDescent="0.25">
      <c r="G1048537" s="2"/>
    </row>
    <row r="1048538" spans="7:7" x14ac:dyDescent="0.25">
      <c r="G1048538" s="2"/>
    </row>
    <row r="1048539" spans="7:7" x14ac:dyDescent="0.25">
      <c r="G1048539" s="2"/>
    </row>
    <row r="1048540" spans="7:7" x14ac:dyDescent="0.25">
      <c r="G1048540" s="2"/>
    </row>
    <row r="1048541" spans="7:7" x14ac:dyDescent="0.25">
      <c r="G1048541" s="2"/>
    </row>
    <row r="1048542" spans="7:7" x14ac:dyDescent="0.25">
      <c r="G1048542" s="2"/>
    </row>
    <row r="1048543" spans="7:7" x14ac:dyDescent="0.25">
      <c r="G1048543" s="2"/>
    </row>
    <row r="1048544" spans="7:7" x14ac:dyDescent="0.25">
      <c r="G1048544" s="2"/>
    </row>
    <row r="1048545" spans="7:7" x14ac:dyDescent="0.25">
      <c r="G1048545" s="2"/>
    </row>
    <row r="1048546" spans="7:7" x14ac:dyDescent="0.25">
      <c r="G1048546" s="2"/>
    </row>
    <row r="1048547" spans="7:7" x14ac:dyDescent="0.25">
      <c r="G1048547" s="2"/>
    </row>
    <row r="1048548" spans="7:7" x14ac:dyDescent="0.25">
      <c r="G1048548" s="2"/>
    </row>
    <row r="1048549" spans="7:7" x14ac:dyDescent="0.25">
      <c r="G1048549" s="2"/>
    </row>
    <row r="1048550" spans="7:7" x14ac:dyDescent="0.25">
      <c r="G1048550" s="2"/>
    </row>
    <row r="1048551" spans="7:7" x14ac:dyDescent="0.25">
      <c r="G1048551" s="2"/>
    </row>
    <row r="1048552" spans="7:7" x14ac:dyDescent="0.25">
      <c r="G1048552" s="2"/>
    </row>
    <row r="1048553" spans="7:7" x14ac:dyDescent="0.25">
      <c r="G1048553" s="2"/>
    </row>
    <row r="1048554" spans="7:7" x14ac:dyDescent="0.25">
      <c r="G1048554" s="2"/>
    </row>
    <row r="1048555" spans="7:7" x14ac:dyDescent="0.25">
      <c r="G1048555" s="2"/>
    </row>
    <row r="1048556" spans="7:7" x14ac:dyDescent="0.25">
      <c r="G1048556" s="2"/>
    </row>
    <row r="1048557" spans="7:7" x14ac:dyDescent="0.25">
      <c r="G1048557" s="2"/>
    </row>
    <row r="1048558" spans="7:7" x14ac:dyDescent="0.25">
      <c r="G1048558" s="2"/>
    </row>
    <row r="1048559" spans="7:7" x14ac:dyDescent="0.25">
      <c r="G1048559" s="2"/>
    </row>
    <row r="1048560" spans="7:7" x14ac:dyDescent="0.25">
      <c r="G1048560" s="2"/>
    </row>
    <row r="1048561" spans="7:8" x14ac:dyDescent="0.25">
      <c r="G1048561" s="2"/>
    </row>
    <row r="1048562" spans="7:8" x14ac:dyDescent="0.25">
      <c r="G1048562" s="2"/>
    </row>
    <row r="1048563" spans="7:8" x14ac:dyDescent="0.25">
      <c r="G1048563" s="2"/>
    </row>
    <row r="1048564" spans="7:8" x14ac:dyDescent="0.25">
      <c r="G1048564" s="2"/>
    </row>
    <row r="1048565" spans="7:8" x14ac:dyDescent="0.25">
      <c r="G1048565" s="2"/>
    </row>
    <row r="1048566" spans="7:8" x14ac:dyDescent="0.25">
      <c r="G1048566" s="2"/>
    </row>
    <row r="1048567" spans="7:8" x14ac:dyDescent="0.25">
      <c r="G1048567" s="2"/>
    </row>
    <row r="1048568" spans="7:8" x14ac:dyDescent="0.25">
      <c r="G1048568" s="2"/>
    </row>
    <row r="1048569" spans="7:8" x14ac:dyDescent="0.25">
      <c r="G1048569" s="2"/>
    </row>
    <row r="1048570" spans="7:8" x14ac:dyDescent="0.25">
      <c r="G1048570" s="2"/>
    </row>
    <row r="1048571" spans="7:8" x14ac:dyDescent="0.25">
      <c r="G1048571" s="2"/>
      <c r="H1048571" s="2"/>
    </row>
  </sheetData>
  <autoFilter ref="B1:H168" xr:uid="{BCE0BF4E-2D6F-4797-8ED1-025520A8CC92}"/>
  <mergeCells count="11">
    <mergeCell ref="B108:B112"/>
    <mergeCell ref="B113:B135"/>
    <mergeCell ref="B136:B143"/>
    <mergeCell ref="B144:B168"/>
    <mergeCell ref="B2:B34"/>
    <mergeCell ref="B35:B45"/>
    <mergeCell ref="B46:B57"/>
    <mergeCell ref="B74:B98"/>
    <mergeCell ref="B99:B103"/>
    <mergeCell ref="B104:B107"/>
    <mergeCell ref="B58:B73"/>
  </mergeCells>
  <pageMargins left="0.70866141732283472" right="0.70866141732283472" top="0.74803149606299213" bottom="0.74803149606299213" header="0.31496062992125984" footer="0.31496062992125984"/>
  <pageSetup scale="5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AC0C8-2D57-47B6-B1AE-152F3C853D3E}">
  <dimension ref="B2:I15"/>
  <sheetViews>
    <sheetView topLeftCell="C1" workbookViewId="0">
      <selection activeCell="H20" sqref="H20"/>
    </sheetView>
  </sheetViews>
  <sheetFormatPr baseColWidth="10" defaultRowHeight="15" x14ac:dyDescent="0.25"/>
  <cols>
    <col min="4" max="4" width="40.85546875" bestFit="1" customWidth="1"/>
    <col min="6" max="6" width="36.85546875" bestFit="1" customWidth="1"/>
  </cols>
  <sheetData>
    <row r="2" spans="2:9" ht="15.75" thickBot="1" x14ac:dyDescent="0.3"/>
    <row r="3" spans="2:9" ht="15.75" x14ac:dyDescent="0.25">
      <c r="B3" s="20" t="s">
        <v>196</v>
      </c>
      <c r="C3" s="21" t="s">
        <v>197</v>
      </c>
      <c r="D3" s="21" t="s">
        <v>198</v>
      </c>
      <c r="E3" s="22" t="s">
        <v>197</v>
      </c>
      <c r="F3" s="22"/>
      <c r="G3" s="21"/>
      <c r="H3" s="23" t="s">
        <v>199</v>
      </c>
      <c r="I3" s="24"/>
    </row>
    <row r="4" spans="2:9" x14ac:dyDescent="0.25">
      <c r="B4" s="25" t="s">
        <v>1</v>
      </c>
      <c r="C4" s="26">
        <v>1507.22</v>
      </c>
      <c r="D4" s="43" t="s">
        <v>200</v>
      </c>
      <c r="E4" s="27">
        <v>805.08000000000015</v>
      </c>
      <c r="F4" s="44" t="s">
        <v>201</v>
      </c>
      <c r="G4" s="28">
        <f>E4/C4</f>
        <v>0.53414896299146786</v>
      </c>
      <c r="H4" s="45">
        <v>1300</v>
      </c>
      <c r="I4" s="29">
        <f>E4/$C$15</f>
        <v>1.2171745156542558E-2</v>
      </c>
    </row>
    <row r="5" spans="2:9" x14ac:dyDescent="0.25">
      <c r="B5" s="25" t="s">
        <v>183</v>
      </c>
      <c r="C5" s="26">
        <v>2555.9399999999996</v>
      </c>
      <c r="D5" s="43" t="s">
        <v>202</v>
      </c>
      <c r="E5" s="30">
        <v>912.77000000000044</v>
      </c>
      <c r="F5" s="44" t="s">
        <v>203</v>
      </c>
      <c r="G5" s="28">
        <f>E5/C5</f>
        <v>0.3571171467248842</v>
      </c>
      <c r="H5" s="45">
        <v>6000</v>
      </c>
      <c r="I5" s="29">
        <f t="shared" ref="I5:I14" si="0">E5/$C$15</f>
        <v>1.3799875573281356E-2</v>
      </c>
    </row>
    <row r="6" spans="2:9" x14ac:dyDescent="0.25">
      <c r="B6" s="25" t="s">
        <v>182</v>
      </c>
      <c r="C6" s="26">
        <v>3151.31</v>
      </c>
      <c r="D6" s="43" t="s">
        <v>204</v>
      </c>
      <c r="E6" s="30">
        <v>911.51999999999964</v>
      </c>
      <c r="F6" s="44" t="s">
        <v>201</v>
      </c>
      <c r="G6" s="28">
        <f t="shared" ref="G6:G14" si="1">E6/C6</f>
        <v>0.28925113682881076</v>
      </c>
      <c r="H6" s="45">
        <v>1200</v>
      </c>
      <c r="I6" s="29">
        <f t="shared" si="0"/>
        <v>1.3780977225979612E-2</v>
      </c>
    </row>
    <row r="7" spans="2:9" x14ac:dyDescent="0.25">
      <c r="B7" s="25" t="s">
        <v>184</v>
      </c>
      <c r="C7" s="31">
        <v>8223.7099999999973</v>
      </c>
      <c r="D7" s="43" t="s">
        <v>205</v>
      </c>
      <c r="E7" s="30">
        <v>1964.3299999999967</v>
      </c>
      <c r="F7" s="44" t="s">
        <v>201</v>
      </c>
      <c r="G7" s="28">
        <f t="shared" si="1"/>
        <v>0.23886177892946095</v>
      </c>
      <c r="H7" s="45">
        <v>9000</v>
      </c>
      <c r="I7" s="29">
        <f t="shared" si="0"/>
        <v>2.9698072444168527E-2</v>
      </c>
    </row>
    <row r="8" spans="2:9" x14ac:dyDescent="0.25">
      <c r="B8" s="25" t="s">
        <v>186</v>
      </c>
      <c r="C8" s="31">
        <v>6883.19</v>
      </c>
      <c r="D8" s="43" t="s">
        <v>206</v>
      </c>
      <c r="E8" s="30">
        <v>887.7699999999993</v>
      </c>
      <c r="F8" s="44" t="s">
        <v>206</v>
      </c>
      <c r="G8" s="28">
        <f t="shared" si="1"/>
        <v>0.12897653558887656</v>
      </c>
      <c r="H8" s="45">
        <v>233</v>
      </c>
      <c r="I8" s="29">
        <f t="shared" si="0"/>
        <v>1.3421908627246704E-2</v>
      </c>
    </row>
    <row r="9" spans="2:9" x14ac:dyDescent="0.25">
      <c r="B9" s="25" t="s">
        <v>187</v>
      </c>
      <c r="C9" s="31">
        <v>2440.5399999999995</v>
      </c>
      <c r="D9" s="43" t="s">
        <v>207</v>
      </c>
      <c r="E9" s="30">
        <v>979.83</v>
      </c>
      <c r="F9" s="44" t="s">
        <v>201</v>
      </c>
      <c r="G9" s="28">
        <f t="shared" si="1"/>
        <v>0.40148081981856482</v>
      </c>
      <c r="H9" s="45">
        <v>7000</v>
      </c>
      <c r="I9" s="29">
        <f t="shared" si="0"/>
        <v>1.4813734109324654E-2</v>
      </c>
    </row>
    <row r="10" spans="2:9" x14ac:dyDescent="0.25">
      <c r="B10" s="25" t="s">
        <v>208</v>
      </c>
      <c r="C10" s="31">
        <v>18035.870000000017</v>
      </c>
      <c r="D10" s="43" t="s">
        <v>209</v>
      </c>
      <c r="E10" s="30">
        <v>13112.390000000014</v>
      </c>
      <c r="F10" s="44" t="s">
        <v>209</v>
      </c>
      <c r="G10" s="28">
        <f t="shared" si="1"/>
        <v>0.72701732713753209</v>
      </c>
      <c r="H10" s="45">
        <v>10</v>
      </c>
      <c r="I10" s="29">
        <f t="shared" si="0"/>
        <v>0.19824200014060367</v>
      </c>
    </row>
    <row r="11" spans="2:9" x14ac:dyDescent="0.25">
      <c r="B11" s="25" t="s">
        <v>190</v>
      </c>
      <c r="C11" s="31">
        <v>918.96000000000026</v>
      </c>
      <c r="D11" s="43" t="s">
        <v>210</v>
      </c>
      <c r="E11" s="30">
        <v>883.71000000000026</v>
      </c>
      <c r="F11" s="44" t="s">
        <v>210</v>
      </c>
      <c r="G11" s="28">
        <f t="shared" si="1"/>
        <v>0.96164142073648473</v>
      </c>
      <c r="H11" s="45">
        <v>18</v>
      </c>
      <c r="I11" s="29">
        <f t="shared" si="0"/>
        <v>1.3360526795210693E-2</v>
      </c>
    </row>
    <row r="12" spans="2:9" x14ac:dyDescent="0.25">
      <c r="B12" s="25" t="s">
        <v>143</v>
      </c>
      <c r="C12" s="31">
        <v>4711.6299999999992</v>
      </c>
      <c r="D12" s="43" t="s">
        <v>211</v>
      </c>
      <c r="E12" s="30">
        <v>1809.7799999999982</v>
      </c>
      <c r="F12" s="44" t="s">
        <v>211</v>
      </c>
      <c r="G12" s="28">
        <f t="shared" si="1"/>
        <v>0.38410910873731563</v>
      </c>
      <c r="H12" s="45">
        <v>27</v>
      </c>
      <c r="I12" s="29">
        <f t="shared" si="0"/>
        <v>2.7361480783782435E-2</v>
      </c>
    </row>
    <row r="13" spans="2:9" x14ac:dyDescent="0.25">
      <c r="B13" s="25" t="s">
        <v>191</v>
      </c>
      <c r="C13" s="31">
        <v>11820.400000000071</v>
      </c>
      <c r="D13" s="43" t="s">
        <v>212</v>
      </c>
      <c r="E13" s="30">
        <v>4784.0600000000277</v>
      </c>
      <c r="F13" s="44" t="s">
        <v>212</v>
      </c>
      <c r="G13" s="28">
        <f t="shared" si="1"/>
        <v>0.40472911238198361</v>
      </c>
      <c r="H13" s="45">
        <v>20</v>
      </c>
      <c r="I13" s="29">
        <f t="shared" si="0"/>
        <v>7.2328661913858644E-2</v>
      </c>
    </row>
    <row r="14" spans="2:9" ht="15.75" thickBot="1" x14ac:dyDescent="0.3">
      <c r="B14" s="32" t="s">
        <v>192</v>
      </c>
      <c r="C14" s="33">
        <v>5894.5800000000045</v>
      </c>
      <c r="D14" s="34" t="s">
        <v>213</v>
      </c>
      <c r="E14" s="35">
        <v>1705.3700000000017</v>
      </c>
      <c r="F14" s="36" t="s">
        <v>213</v>
      </c>
      <c r="G14" s="37">
        <f t="shared" si="1"/>
        <v>0.28931153703911056</v>
      </c>
      <c r="H14" s="38">
        <v>3</v>
      </c>
      <c r="I14" s="39">
        <f t="shared" si="0"/>
        <v>2.578293963036344E-2</v>
      </c>
    </row>
    <row r="15" spans="2:9" x14ac:dyDescent="0.25">
      <c r="C15" s="40">
        <f>SUM(C4:C14)</f>
        <v>66143.350000000079</v>
      </c>
      <c r="E15" s="41">
        <f>SUM(E4:E14)</f>
        <v>28756.610000000037</v>
      </c>
      <c r="F15" s="4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Camilo Anchique Rubiano</dc:creator>
  <cp:lastModifiedBy>Sebastian Camilo Anchique Rubiano</cp:lastModifiedBy>
  <cp:lastPrinted>2025-03-07T14:02:49Z</cp:lastPrinted>
  <dcterms:created xsi:type="dcterms:W3CDTF">2025-02-13T16:13:11Z</dcterms:created>
  <dcterms:modified xsi:type="dcterms:W3CDTF">2025-03-07T14:04:24Z</dcterms:modified>
</cp:coreProperties>
</file>